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xr:revisionPtr revIDLastSave="0" documentId="8_{54DCB06D-EABD-4894-BAB0-6C28CA3C1AE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ميزان المراجعة (3)" sheetId="3" r:id="rId1"/>
  </sheets>
  <definedNames>
    <definedName name="_xlnm._FilterDatabase" localSheetId="0" hidden="1">'ميزان المراجعة (3)'!$A$1:$T$215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13" i="3" l="1"/>
  <c r="G215" i="3" s="1"/>
  <c r="D213" i="3"/>
  <c r="D215" i="3" s="1"/>
  <c r="C213" i="3"/>
  <c r="C215" i="3" s="1"/>
  <c r="L212" i="3"/>
  <c r="H211" i="3"/>
  <c r="J211" i="3" s="1"/>
  <c r="L211" i="3" s="1"/>
  <c r="F210" i="3"/>
  <c r="E210" i="3"/>
  <c r="E209" i="3"/>
  <c r="H209" i="3" s="1"/>
  <c r="J209" i="3" s="1"/>
  <c r="L209" i="3" s="1"/>
  <c r="E208" i="3"/>
  <c r="H208" i="3" s="1"/>
  <c r="J208" i="3" s="1"/>
  <c r="L208" i="3" s="1"/>
  <c r="E207" i="3"/>
  <c r="H207" i="3" s="1"/>
  <c r="J207" i="3" s="1"/>
  <c r="L207" i="3" s="1"/>
  <c r="E206" i="3"/>
  <c r="H206" i="3" s="1"/>
  <c r="J206" i="3" s="1"/>
  <c r="L206" i="3" s="1"/>
  <c r="E205" i="3"/>
  <c r="H205" i="3" s="1"/>
  <c r="J205" i="3" s="1"/>
  <c r="L205" i="3" s="1"/>
  <c r="E204" i="3"/>
  <c r="H204" i="3" s="1"/>
  <c r="J204" i="3" s="1"/>
  <c r="L204" i="3" s="1"/>
  <c r="E203" i="3"/>
  <c r="H203" i="3" s="1"/>
  <c r="J203" i="3" s="1"/>
  <c r="L203" i="3" s="1"/>
  <c r="E202" i="3"/>
  <c r="H202" i="3" s="1"/>
  <c r="J202" i="3" s="1"/>
  <c r="L202" i="3" s="1"/>
  <c r="E201" i="3"/>
  <c r="H201" i="3" s="1"/>
  <c r="J201" i="3" s="1"/>
  <c r="L201" i="3" s="1"/>
  <c r="E200" i="3"/>
  <c r="H200" i="3" s="1"/>
  <c r="J200" i="3" s="1"/>
  <c r="L200" i="3" s="1"/>
  <c r="E199" i="3"/>
  <c r="H199" i="3" s="1"/>
  <c r="J199" i="3" s="1"/>
  <c r="L199" i="3" s="1"/>
  <c r="E198" i="3"/>
  <c r="H198" i="3" s="1"/>
  <c r="J198" i="3" s="1"/>
  <c r="L198" i="3" s="1"/>
  <c r="E197" i="3"/>
  <c r="H197" i="3" s="1"/>
  <c r="J197" i="3" s="1"/>
  <c r="L197" i="3" s="1"/>
  <c r="E196" i="3"/>
  <c r="H196" i="3" s="1"/>
  <c r="J196" i="3" s="1"/>
  <c r="L196" i="3" s="1"/>
  <c r="E195" i="3"/>
  <c r="H195" i="3" s="1"/>
  <c r="J195" i="3" s="1"/>
  <c r="L195" i="3" s="1"/>
  <c r="E194" i="3"/>
  <c r="H194" i="3" s="1"/>
  <c r="J194" i="3" s="1"/>
  <c r="L194" i="3" s="1"/>
  <c r="E193" i="3"/>
  <c r="H193" i="3" s="1"/>
  <c r="J193" i="3" s="1"/>
  <c r="L193" i="3" s="1"/>
  <c r="E192" i="3"/>
  <c r="H192" i="3" s="1"/>
  <c r="J192" i="3" s="1"/>
  <c r="L192" i="3" s="1"/>
  <c r="E191" i="3"/>
  <c r="H191" i="3" s="1"/>
  <c r="J191" i="3" s="1"/>
  <c r="L191" i="3" s="1"/>
  <c r="E190" i="3"/>
  <c r="H190" i="3" s="1"/>
  <c r="J190" i="3" s="1"/>
  <c r="L190" i="3" s="1"/>
  <c r="E189" i="3"/>
  <c r="H189" i="3" s="1"/>
  <c r="J189" i="3" s="1"/>
  <c r="L189" i="3" s="1"/>
  <c r="E188" i="3"/>
  <c r="H188" i="3" s="1"/>
  <c r="J188" i="3" s="1"/>
  <c r="L188" i="3" s="1"/>
  <c r="E187" i="3"/>
  <c r="H187" i="3" s="1"/>
  <c r="J187" i="3" s="1"/>
  <c r="L187" i="3" s="1"/>
  <c r="E186" i="3"/>
  <c r="H186" i="3" s="1"/>
  <c r="J186" i="3" s="1"/>
  <c r="L186" i="3" s="1"/>
  <c r="E185" i="3"/>
  <c r="H185" i="3" s="1"/>
  <c r="J185" i="3" s="1"/>
  <c r="L185" i="3" s="1"/>
  <c r="E184" i="3"/>
  <c r="H184" i="3" s="1"/>
  <c r="J184" i="3" s="1"/>
  <c r="L184" i="3" s="1"/>
  <c r="E183" i="3"/>
  <c r="H183" i="3" s="1"/>
  <c r="J183" i="3" s="1"/>
  <c r="L183" i="3" s="1"/>
  <c r="E182" i="3"/>
  <c r="I182" i="3" s="1"/>
  <c r="J182" i="3" s="1"/>
  <c r="L182" i="3" s="1"/>
  <c r="E181" i="3"/>
  <c r="H181" i="3" s="1"/>
  <c r="J181" i="3" s="1"/>
  <c r="L181" i="3" s="1"/>
  <c r="E180" i="3"/>
  <c r="H180" i="3" s="1"/>
  <c r="J180" i="3" s="1"/>
  <c r="L180" i="3" s="1"/>
  <c r="E179" i="3"/>
  <c r="H179" i="3" s="1"/>
  <c r="J179" i="3" s="1"/>
  <c r="L179" i="3" s="1"/>
  <c r="E178" i="3"/>
  <c r="H178" i="3" s="1"/>
  <c r="J178" i="3" s="1"/>
  <c r="L178" i="3" s="1"/>
  <c r="E177" i="3"/>
  <c r="H177" i="3" s="1"/>
  <c r="J177" i="3" s="1"/>
  <c r="L177" i="3" s="1"/>
  <c r="E176" i="3"/>
  <c r="H176" i="3" s="1"/>
  <c r="J176" i="3" s="1"/>
  <c r="L176" i="3" s="1"/>
  <c r="E175" i="3"/>
  <c r="H175" i="3" s="1"/>
  <c r="J175" i="3" s="1"/>
  <c r="L175" i="3" s="1"/>
  <c r="E174" i="3"/>
  <c r="H174" i="3" s="1"/>
  <c r="J174" i="3" s="1"/>
  <c r="L174" i="3" s="1"/>
  <c r="E173" i="3"/>
  <c r="H173" i="3" s="1"/>
  <c r="J173" i="3" s="1"/>
  <c r="L173" i="3" s="1"/>
  <c r="E172" i="3"/>
  <c r="H172" i="3" s="1"/>
  <c r="J172" i="3" s="1"/>
  <c r="L172" i="3" s="1"/>
  <c r="E171" i="3"/>
  <c r="H171" i="3" s="1"/>
  <c r="J171" i="3" s="1"/>
  <c r="L171" i="3" s="1"/>
  <c r="E170" i="3"/>
  <c r="H170" i="3" s="1"/>
  <c r="J170" i="3" s="1"/>
  <c r="L170" i="3" s="1"/>
  <c r="E169" i="3"/>
  <c r="H169" i="3" s="1"/>
  <c r="J169" i="3" s="1"/>
  <c r="L169" i="3" s="1"/>
  <c r="E168" i="3"/>
  <c r="H168" i="3" s="1"/>
  <c r="J168" i="3" s="1"/>
  <c r="L168" i="3" s="1"/>
  <c r="E167" i="3"/>
  <c r="I167" i="3" s="1"/>
  <c r="J167" i="3" s="1"/>
  <c r="L167" i="3" s="1"/>
  <c r="E166" i="3"/>
  <c r="H166" i="3" s="1"/>
  <c r="J166" i="3" s="1"/>
  <c r="L166" i="3" s="1"/>
  <c r="E165" i="3"/>
  <c r="H165" i="3" s="1"/>
  <c r="J165" i="3" s="1"/>
  <c r="L165" i="3" s="1"/>
  <c r="E164" i="3"/>
  <c r="H164" i="3" s="1"/>
  <c r="J164" i="3" s="1"/>
  <c r="L164" i="3" s="1"/>
  <c r="E163" i="3"/>
  <c r="H163" i="3" s="1"/>
  <c r="J163" i="3" s="1"/>
  <c r="L163" i="3" s="1"/>
  <c r="E162" i="3"/>
  <c r="H162" i="3" s="1"/>
  <c r="J162" i="3" s="1"/>
  <c r="L162" i="3" s="1"/>
  <c r="E161" i="3"/>
  <c r="H161" i="3" s="1"/>
  <c r="J161" i="3" s="1"/>
  <c r="L161" i="3" s="1"/>
  <c r="E160" i="3"/>
  <c r="H160" i="3" s="1"/>
  <c r="J160" i="3" s="1"/>
  <c r="L160" i="3" s="1"/>
  <c r="E159" i="3"/>
  <c r="H159" i="3" s="1"/>
  <c r="J159" i="3" s="1"/>
  <c r="L159" i="3" s="1"/>
  <c r="E158" i="3"/>
  <c r="H158" i="3" s="1"/>
  <c r="J158" i="3" s="1"/>
  <c r="L158" i="3" s="1"/>
  <c r="E157" i="3"/>
  <c r="H157" i="3" s="1"/>
  <c r="J157" i="3" s="1"/>
  <c r="L157" i="3" s="1"/>
  <c r="E156" i="3"/>
  <c r="H156" i="3" s="1"/>
  <c r="J156" i="3" s="1"/>
  <c r="L156" i="3" s="1"/>
  <c r="E155" i="3"/>
  <c r="H155" i="3" s="1"/>
  <c r="J155" i="3" s="1"/>
  <c r="L155" i="3" s="1"/>
  <c r="E154" i="3"/>
  <c r="H154" i="3" s="1"/>
  <c r="J154" i="3" s="1"/>
  <c r="L154" i="3" s="1"/>
  <c r="E153" i="3"/>
  <c r="H153" i="3" s="1"/>
  <c r="J153" i="3" s="1"/>
  <c r="L153" i="3" s="1"/>
  <c r="E152" i="3"/>
  <c r="H152" i="3" s="1"/>
  <c r="J152" i="3" s="1"/>
  <c r="L152" i="3" s="1"/>
  <c r="E151" i="3"/>
  <c r="H151" i="3" s="1"/>
  <c r="J151" i="3" s="1"/>
  <c r="L151" i="3" s="1"/>
  <c r="E150" i="3"/>
  <c r="H150" i="3" s="1"/>
  <c r="J150" i="3" s="1"/>
  <c r="L150" i="3" s="1"/>
  <c r="E149" i="3"/>
  <c r="H149" i="3" s="1"/>
  <c r="J149" i="3" s="1"/>
  <c r="L149" i="3" s="1"/>
  <c r="E148" i="3"/>
  <c r="H148" i="3" s="1"/>
  <c r="J148" i="3" s="1"/>
  <c r="L148" i="3" s="1"/>
  <c r="K147" i="3"/>
  <c r="E147" i="3"/>
  <c r="H147" i="3" s="1"/>
  <c r="J147" i="3" s="1"/>
  <c r="E146" i="3"/>
  <c r="H146" i="3" s="1"/>
  <c r="J146" i="3" s="1"/>
  <c r="L146" i="3" s="1"/>
  <c r="E145" i="3"/>
  <c r="H145" i="3" s="1"/>
  <c r="J145" i="3" s="1"/>
  <c r="L145" i="3" s="1"/>
  <c r="E144" i="3"/>
  <c r="H144" i="3" s="1"/>
  <c r="J144" i="3" s="1"/>
  <c r="L144" i="3" s="1"/>
  <c r="E143" i="3"/>
  <c r="H143" i="3" s="1"/>
  <c r="J143" i="3" s="1"/>
  <c r="L143" i="3" s="1"/>
  <c r="E142" i="3"/>
  <c r="H142" i="3" s="1"/>
  <c r="J142" i="3" s="1"/>
  <c r="L142" i="3" s="1"/>
  <c r="E141" i="3"/>
  <c r="H141" i="3" s="1"/>
  <c r="J141" i="3" s="1"/>
  <c r="L141" i="3" s="1"/>
  <c r="E140" i="3"/>
  <c r="H140" i="3" s="1"/>
  <c r="J140" i="3" s="1"/>
  <c r="L140" i="3" s="1"/>
  <c r="E139" i="3"/>
  <c r="H139" i="3" s="1"/>
  <c r="J139" i="3" s="1"/>
  <c r="L139" i="3" s="1"/>
  <c r="E138" i="3"/>
  <c r="H138" i="3" s="1"/>
  <c r="J138" i="3" s="1"/>
  <c r="L138" i="3" s="1"/>
  <c r="E137" i="3"/>
  <c r="H137" i="3" s="1"/>
  <c r="J137" i="3" s="1"/>
  <c r="L137" i="3" s="1"/>
  <c r="E136" i="3"/>
  <c r="H136" i="3" s="1"/>
  <c r="J136" i="3" s="1"/>
  <c r="L136" i="3" s="1"/>
  <c r="E135" i="3"/>
  <c r="H135" i="3" s="1"/>
  <c r="J135" i="3" s="1"/>
  <c r="L135" i="3" s="1"/>
  <c r="E134" i="3"/>
  <c r="H134" i="3" s="1"/>
  <c r="J134" i="3" s="1"/>
  <c r="L134" i="3" s="1"/>
  <c r="E133" i="3"/>
  <c r="H133" i="3" s="1"/>
  <c r="J133" i="3" s="1"/>
  <c r="L133" i="3" s="1"/>
  <c r="E132" i="3"/>
  <c r="H132" i="3" s="1"/>
  <c r="J132" i="3" s="1"/>
  <c r="L132" i="3" s="1"/>
  <c r="E131" i="3"/>
  <c r="H131" i="3" s="1"/>
  <c r="J131" i="3" s="1"/>
  <c r="L131" i="3" s="1"/>
  <c r="L130" i="3"/>
  <c r="E129" i="3"/>
  <c r="H129" i="3" s="1"/>
  <c r="J129" i="3" s="1"/>
  <c r="L129" i="3" s="1"/>
  <c r="E128" i="3"/>
  <c r="H128" i="3" s="1"/>
  <c r="J128" i="3" s="1"/>
  <c r="L128" i="3" s="1"/>
  <c r="E127" i="3"/>
  <c r="H127" i="3" s="1"/>
  <c r="J127" i="3" s="1"/>
  <c r="L127" i="3" s="1"/>
  <c r="E126" i="3"/>
  <c r="H126" i="3" s="1"/>
  <c r="J126" i="3" s="1"/>
  <c r="L126" i="3" s="1"/>
  <c r="E125" i="3"/>
  <c r="I125" i="3" s="1"/>
  <c r="J125" i="3" s="1"/>
  <c r="L125" i="3" s="1"/>
  <c r="E124" i="3"/>
  <c r="H124" i="3" s="1"/>
  <c r="J124" i="3" s="1"/>
  <c r="L124" i="3" s="1"/>
  <c r="E123" i="3"/>
  <c r="H123" i="3" s="1"/>
  <c r="J123" i="3" s="1"/>
  <c r="L123" i="3" s="1"/>
  <c r="E122" i="3"/>
  <c r="H122" i="3" s="1"/>
  <c r="J122" i="3" s="1"/>
  <c r="L122" i="3" s="1"/>
  <c r="E121" i="3"/>
  <c r="H121" i="3" s="1"/>
  <c r="J121" i="3" s="1"/>
  <c r="L121" i="3" s="1"/>
  <c r="E120" i="3"/>
  <c r="H120" i="3" s="1"/>
  <c r="J120" i="3" s="1"/>
  <c r="L120" i="3" s="1"/>
  <c r="E119" i="3"/>
  <c r="H119" i="3" s="1"/>
  <c r="J119" i="3" s="1"/>
  <c r="L119" i="3" s="1"/>
  <c r="E118" i="3"/>
  <c r="H118" i="3" s="1"/>
  <c r="J118" i="3" s="1"/>
  <c r="L118" i="3" s="1"/>
  <c r="E117" i="3"/>
  <c r="H117" i="3" s="1"/>
  <c r="J117" i="3" s="1"/>
  <c r="L117" i="3" s="1"/>
  <c r="E116" i="3"/>
  <c r="H116" i="3" s="1"/>
  <c r="J116" i="3" s="1"/>
  <c r="L116" i="3" s="1"/>
  <c r="E115" i="3"/>
  <c r="H115" i="3" s="1"/>
  <c r="J115" i="3" s="1"/>
  <c r="L115" i="3" s="1"/>
  <c r="E114" i="3"/>
  <c r="H114" i="3" s="1"/>
  <c r="J114" i="3" s="1"/>
  <c r="L114" i="3" s="1"/>
  <c r="E113" i="3"/>
  <c r="H113" i="3" s="1"/>
  <c r="J113" i="3" s="1"/>
  <c r="L113" i="3" s="1"/>
  <c r="E112" i="3"/>
  <c r="H112" i="3" s="1"/>
  <c r="J112" i="3" s="1"/>
  <c r="L112" i="3" s="1"/>
  <c r="E111" i="3"/>
  <c r="H111" i="3" s="1"/>
  <c r="J111" i="3" s="1"/>
  <c r="L111" i="3" s="1"/>
  <c r="E110" i="3"/>
  <c r="H110" i="3" s="1"/>
  <c r="J110" i="3" s="1"/>
  <c r="L110" i="3" s="1"/>
  <c r="E109" i="3"/>
  <c r="H109" i="3" s="1"/>
  <c r="J109" i="3" s="1"/>
  <c r="L109" i="3" s="1"/>
  <c r="E108" i="3"/>
  <c r="H108" i="3" s="1"/>
  <c r="J108" i="3" s="1"/>
  <c r="L108" i="3" s="1"/>
  <c r="E107" i="3"/>
  <c r="H107" i="3" s="1"/>
  <c r="J107" i="3" s="1"/>
  <c r="L107" i="3" s="1"/>
  <c r="E106" i="3"/>
  <c r="H106" i="3" s="1"/>
  <c r="J106" i="3" s="1"/>
  <c r="L106" i="3" s="1"/>
  <c r="E105" i="3"/>
  <c r="H105" i="3" s="1"/>
  <c r="J105" i="3" s="1"/>
  <c r="L105" i="3" s="1"/>
  <c r="E104" i="3"/>
  <c r="I104" i="3" s="1"/>
  <c r="J104" i="3" s="1"/>
  <c r="L104" i="3" s="1"/>
  <c r="E103" i="3"/>
  <c r="H103" i="3" s="1"/>
  <c r="J103" i="3" s="1"/>
  <c r="L103" i="3" s="1"/>
  <c r="E102" i="3"/>
  <c r="H102" i="3" s="1"/>
  <c r="J102" i="3" s="1"/>
  <c r="L102" i="3" s="1"/>
  <c r="E101" i="3"/>
  <c r="H101" i="3" s="1"/>
  <c r="J101" i="3" s="1"/>
  <c r="L101" i="3" s="1"/>
  <c r="E100" i="3"/>
  <c r="H100" i="3" s="1"/>
  <c r="J100" i="3" s="1"/>
  <c r="L100" i="3" s="1"/>
  <c r="E99" i="3"/>
  <c r="H99" i="3" s="1"/>
  <c r="J99" i="3" s="1"/>
  <c r="L99" i="3" s="1"/>
  <c r="F98" i="3"/>
  <c r="F213" i="3" s="1"/>
  <c r="F215" i="3" s="1"/>
  <c r="E98" i="3"/>
  <c r="H98" i="3" s="1"/>
  <c r="J98" i="3" s="1"/>
  <c r="L98" i="3" s="1"/>
  <c r="H97" i="3"/>
  <c r="J97" i="3" s="1"/>
  <c r="L97" i="3" s="1"/>
  <c r="E96" i="3"/>
  <c r="H96" i="3" s="1"/>
  <c r="J96" i="3" s="1"/>
  <c r="L96" i="3" s="1"/>
  <c r="E95" i="3"/>
  <c r="H95" i="3" s="1"/>
  <c r="J95" i="3" s="1"/>
  <c r="L95" i="3" s="1"/>
  <c r="E94" i="3"/>
  <c r="H94" i="3" s="1"/>
  <c r="J94" i="3" s="1"/>
  <c r="L94" i="3" s="1"/>
  <c r="E93" i="3"/>
  <c r="H93" i="3" s="1"/>
  <c r="J93" i="3" s="1"/>
  <c r="L93" i="3" s="1"/>
  <c r="E92" i="3"/>
  <c r="H92" i="3" s="1"/>
  <c r="J92" i="3" s="1"/>
  <c r="L92" i="3" s="1"/>
  <c r="E91" i="3"/>
  <c r="H91" i="3" s="1"/>
  <c r="J91" i="3" s="1"/>
  <c r="L91" i="3" s="1"/>
  <c r="E90" i="3"/>
  <c r="H90" i="3" s="1"/>
  <c r="J90" i="3" s="1"/>
  <c r="L90" i="3" s="1"/>
  <c r="E89" i="3"/>
  <c r="H89" i="3" s="1"/>
  <c r="J89" i="3" s="1"/>
  <c r="L89" i="3" s="1"/>
  <c r="E88" i="3"/>
  <c r="H88" i="3" s="1"/>
  <c r="J88" i="3" s="1"/>
  <c r="L88" i="3" s="1"/>
  <c r="E87" i="3"/>
  <c r="H87" i="3" s="1"/>
  <c r="J87" i="3" s="1"/>
  <c r="L87" i="3" s="1"/>
  <c r="E86" i="3"/>
  <c r="H86" i="3" s="1"/>
  <c r="J86" i="3" s="1"/>
  <c r="L86" i="3" s="1"/>
  <c r="E85" i="3"/>
  <c r="H85" i="3" s="1"/>
  <c r="J85" i="3" s="1"/>
  <c r="L85" i="3" s="1"/>
  <c r="E84" i="3"/>
  <c r="H84" i="3" s="1"/>
  <c r="J84" i="3" s="1"/>
  <c r="L84" i="3" s="1"/>
  <c r="E83" i="3"/>
  <c r="H83" i="3" s="1"/>
  <c r="J83" i="3" s="1"/>
  <c r="L83" i="3" s="1"/>
  <c r="E82" i="3"/>
  <c r="H82" i="3" s="1"/>
  <c r="J82" i="3" s="1"/>
  <c r="L82" i="3" s="1"/>
  <c r="E81" i="3"/>
  <c r="H81" i="3" s="1"/>
  <c r="J81" i="3" s="1"/>
  <c r="L81" i="3" s="1"/>
  <c r="E80" i="3"/>
  <c r="H80" i="3" s="1"/>
  <c r="J80" i="3" s="1"/>
  <c r="L80" i="3" s="1"/>
  <c r="E79" i="3"/>
  <c r="H79" i="3" s="1"/>
  <c r="J79" i="3" s="1"/>
  <c r="L79" i="3" s="1"/>
  <c r="E78" i="3"/>
  <c r="H78" i="3" s="1"/>
  <c r="J78" i="3" s="1"/>
  <c r="L78" i="3" s="1"/>
  <c r="E77" i="3"/>
  <c r="H77" i="3" s="1"/>
  <c r="J77" i="3" s="1"/>
  <c r="L77" i="3" s="1"/>
  <c r="E76" i="3"/>
  <c r="H76" i="3" s="1"/>
  <c r="J76" i="3" s="1"/>
  <c r="L76" i="3" s="1"/>
  <c r="E75" i="3"/>
  <c r="H75" i="3" s="1"/>
  <c r="J75" i="3" s="1"/>
  <c r="L75" i="3" s="1"/>
  <c r="E74" i="3"/>
  <c r="H74" i="3" s="1"/>
  <c r="J74" i="3" s="1"/>
  <c r="L74" i="3" s="1"/>
  <c r="E73" i="3"/>
  <c r="H73" i="3" s="1"/>
  <c r="J73" i="3" s="1"/>
  <c r="L73" i="3" s="1"/>
  <c r="E72" i="3"/>
  <c r="H72" i="3" s="1"/>
  <c r="J72" i="3" s="1"/>
  <c r="L72" i="3" s="1"/>
  <c r="E71" i="3"/>
  <c r="H71" i="3" s="1"/>
  <c r="J71" i="3" s="1"/>
  <c r="L71" i="3" s="1"/>
  <c r="E70" i="3"/>
  <c r="H70" i="3" s="1"/>
  <c r="J70" i="3" s="1"/>
  <c r="L70" i="3" s="1"/>
  <c r="E69" i="3"/>
  <c r="H69" i="3" s="1"/>
  <c r="J69" i="3" s="1"/>
  <c r="L69" i="3" s="1"/>
  <c r="E68" i="3"/>
  <c r="H68" i="3" s="1"/>
  <c r="J68" i="3" s="1"/>
  <c r="L68" i="3" s="1"/>
  <c r="E67" i="3"/>
  <c r="H67" i="3" s="1"/>
  <c r="J67" i="3" s="1"/>
  <c r="L67" i="3" s="1"/>
  <c r="E66" i="3"/>
  <c r="H66" i="3" s="1"/>
  <c r="J66" i="3" s="1"/>
  <c r="L66" i="3" s="1"/>
  <c r="E65" i="3"/>
  <c r="H65" i="3" s="1"/>
  <c r="J65" i="3" s="1"/>
  <c r="L65" i="3" s="1"/>
  <c r="E64" i="3"/>
  <c r="H64" i="3" s="1"/>
  <c r="J64" i="3" s="1"/>
  <c r="L64" i="3" s="1"/>
  <c r="E63" i="3"/>
  <c r="H63" i="3" s="1"/>
  <c r="J63" i="3" s="1"/>
  <c r="L63" i="3" s="1"/>
  <c r="E62" i="3"/>
  <c r="H62" i="3" s="1"/>
  <c r="J62" i="3" s="1"/>
  <c r="L62" i="3" s="1"/>
  <c r="E61" i="3"/>
  <c r="H61" i="3" s="1"/>
  <c r="J61" i="3" s="1"/>
  <c r="L61" i="3" s="1"/>
  <c r="E60" i="3"/>
  <c r="H60" i="3" s="1"/>
  <c r="J60" i="3" s="1"/>
  <c r="L60" i="3" s="1"/>
  <c r="E59" i="3"/>
  <c r="H59" i="3" s="1"/>
  <c r="J59" i="3" s="1"/>
  <c r="L59" i="3" s="1"/>
  <c r="E58" i="3"/>
  <c r="H58" i="3" s="1"/>
  <c r="J58" i="3" s="1"/>
  <c r="L58" i="3" s="1"/>
  <c r="E57" i="3"/>
  <c r="H57" i="3" s="1"/>
  <c r="J57" i="3" s="1"/>
  <c r="L57" i="3" s="1"/>
  <c r="E56" i="3"/>
  <c r="H56" i="3" s="1"/>
  <c r="J56" i="3" s="1"/>
  <c r="L56" i="3" s="1"/>
  <c r="E55" i="3"/>
  <c r="H55" i="3" s="1"/>
  <c r="J55" i="3" s="1"/>
  <c r="L55" i="3" s="1"/>
  <c r="E54" i="3"/>
  <c r="H54" i="3" s="1"/>
  <c r="J54" i="3" s="1"/>
  <c r="L54" i="3" s="1"/>
  <c r="E53" i="3"/>
  <c r="H53" i="3" s="1"/>
  <c r="J53" i="3" s="1"/>
  <c r="L53" i="3" s="1"/>
  <c r="E52" i="3"/>
  <c r="H52" i="3" s="1"/>
  <c r="J52" i="3" s="1"/>
  <c r="L52" i="3" s="1"/>
  <c r="E51" i="3"/>
  <c r="H51" i="3" s="1"/>
  <c r="J51" i="3" s="1"/>
  <c r="L51" i="3" s="1"/>
  <c r="E50" i="3"/>
  <c r="H50" i="3" s="1"/>
  <c r="J50" i="3" s="1"/>
  <c r="L50" i="3" s="1"/>
  <c r="E49" i="3"/>
  <c r="H49" i="3" s="1"/>
  <c r="J49" i="3" s="1"/>
  <c r="L49" i="3" s="1"/>
  <c r="E48" i="3"/>
  <c r="H48" i="3" s="1"/>
  <c r="J48" i="3" s="1"/>
  <c r="L48" i="3" s="1"/>
  <c r="E47" i="3"/>
  <c r="H47" i="3" s="1"/>
  <c r="J47" i="3" s="1"/>
  <c r="L47" i="3" s="1"/>
  <c r="E46" i="3"/>
  <c r="H46" i="3" s="1"/>
  <c r="J46" i="3" s="1"/>
  <c r="L46" i="3" s="1"/>
  <c r="E45" i="3"/>
  <c r="H45" i="3" s="1"/>
  <c r="J45" i="3" s="1"/>
  <c r="L45" i="3" s="1"/>
  <c r="E44" i="3"/>
  <c r="H44" i="3" s="1"/>
  <c r="J44" i="3" s="1"/>
  <c r="L44" i="3" s="1"/>
  <c r="E43" i="3"/>
  <c r="I43" i="3" s="1"/>
  <c r="J43" i="3" s="1"/>
  <c r="L43" i="3" s="1"/>
  <c r="E42" i="3"/>
  <c r="H42" i="3" s="1"/>
  <c r="J42" i="3" s="1"/>
  <c r="L42" i="3" s="1"/>
  <c r="E41" i="3"/>
  <c r="H41" i="3" s="1"/>
  <c r="J41" i="3" s="1"/>
  <c r="L41" i="3" s="1"/>
  <c r="E40" i="3"/>
  <c r="H40" i="3" s="1"/>
  <c r="J40" i="3" s="1"/>
  <c r="L40" i="3" s="1"/>
  <c r="E39" i="3"/>
  <c r="H39" i="3" s="1"/>
  <c r="J39" i="3" s="1"/>
  <c r="L39" i="3" s="1"/>
  <c r="E38" i="3"/>
  <c r="H38" i="3" s="1"/>
  <c r="J38" i="3" s="1"/>
  <c r="L38" i="3" s="1"/>
  <c r="E37" i="3"/>
  <c r="H37" i="3" s="1"/>
  <c r="J37" i="3" s="1"/>
  <c r="L37" i="3" s="1"/>
  <c r="E36" i="3"/>
  <c r="H36" i="3" s="1"/>
  <c r="J36" i="3" s="1"/>
  <c r="L36" i="3" s="1"/>
  <c r="E35" i="3"/>
  <c r="H35" i="3" s="1"/>
  <c r="J35" i="3" s="1"/>
  <c r="L35" i="3" s="1"/>
  <c r="E34" i="3"/>
  <c r="H34" i="3" s="1"/>
  <c r="J34" i="3" s="1"/>
  <c r="L34" i="3" s="1"/>
  <c r="E33" i="3"/>
  <c r="H33" i="3" s="1"/>
  <c r="J33" i="3" s="1"/>
  <c r="L33" i="3" s="1"/>
  <c r="E32" i="3"/>
  <c r="H32" i="3" s="1"/>
  <c r="J32" i="3" s="1"/>
  <c r="L32" i="3" s="1"/>
  <c r="E31" i="3"/>
  <c r="H31" i="3" s="1"/>
  <c r="J31" i="3" s="1"/>
  <c r="L31" i="3" s="1"/>
  <c r="E30" i="3"/>
  <c r="H30" i="3" s="1"/>
  <c r="J30" i="3" s="1"/>
  <c r="L30" i="3" s="1"/>
  <c r="E29" i="3"/>
  <c r="H29" i="3" s="1"/>
  <c r="J29" i="3" s="1"/>
  <c r="L29" i="3" s="1"/>
  <c r="E28" i="3"/>
  <c r="H28" i="3" s="1"/>
  <c r="J28" i="3" s="1"/>
  <c r="L28" i="3" s="1"/>
  <c r="E27" i="3"/>
  <c r="H27" i="3" s="1"/>
  <c r="J27" i="3" s="1"/>
  <c r="L27" i="3" s="1"/>
  <c r="E26" i="3"/>
  <c r="H26" i="3" s="1"/>
  <c r="J26" i="3" s="1"/>
  <c r="L26" i="3" s="1"/>
  <c r="E25" i="3"/>
  <c r="H25" i="3" s="1"/>
  <c r="J25" i="3" s="1"/>
  <c r="L25" i="3" s="1"/>
  <c r="E24" i="3"/>
  <c r="H24" i="3" s="1"/>
  <c r="J24" i="3" s="1"/>
  <c r="L24" i="3" s="1"/>
  <c r="E23" i="3"/>
  <c r="H23" i="3" s="1"/>
  <c r="J23" i="3" s="1"/>
  <c r="L23" i="3" s="1"/>
  <c r="E22" i="3"/>
  <c r="H22" i="3" s="1"/>
  <c r="J22" i="3" s="1"/>
  <c r="L22" i="3" s="1"/>
  <c r="E21" i="3"/>
  <c r="H21" i="3" s="1"/>
  <c r="J21" i="3" s="1"/>
  <c r="L21" i="3" s="1"/>
  <c r="L20" i="3"/>
  <c r="E19" i="3"/>
  <c r="H19" i="3" s="1"/>
  <c r="J19" i="3" s="1"/>
  <c r="L19" i="3" s="1"/>
  <c r="E18" i="3"/>
  <c r="H18" i="3" s="1"/>
  <c r="J18" i="3" s="1"/>
  <c r="L18" i="3" s="1"/>
  <c r="E17" i="3"/>
  <c r="H17" i="3" s="1"/>
  <c r="J17" i="3" s="1"/>
  <c r="L17" i="3" s="1"/>
  <c r="E16" i="3"/>
  <c r="I16" i="3" s="1"/>
  <c r="J16" i="3" s="1"/>
  <c r="L16" i="3" s="1"/>
  <c r="E15" i="3"/>
  <c r="H15" i="3" s="1"/>
  <c r="J15" i="3" s="1"/>
  <c r="L15" i="3" s="1"/>
  <c r="E14" i="3"/>
  <c r="H14" i="3" s="1"/>
  <c r="J14" i="3" s="1"/>
  <c r="L14" i="3" s="1"/>
  <c r="E13" i="3"/>
  <c r="H13" i="3" s="1"/>
  <c r="J13" i="3" s="1"/>
  <c r="L13" i="3" s="1"/>
  <c r="E12" i="3"/>
  <c r="H12" i="3" s="1"/>
  <c r="J12" i="3" s="1"/>
  <c r="L12" i="3" s="1"/>
  <c r="E11" i="3"/>
  <c r="H11" i="3" s="1"/>
  <c r="J11" i="3" s="1"/>
  <c r="L11" i="3" s="1"/>
  <c r="E10" i="3"/>
  <c r="H10" i="3" s="1"/>
  <c r="J10" i="3" s="1"/>
  <c r="L10" i="3" s="1"/>
  <c r="E9" i="3"/>
  <c r="H9" i="3" s="1"/>
  <c r="J9" i="3" s="1"/>
  <c r="L9" i="3" s="1"/>
  <c r="E8" i="3"/>
  <c r="H8" i="3" s="1"/>
  <c r="J8" i="3" s="1"/>
  <c r="L8" i="3" s="1"/>
  <c r="E7" i="3"/>
  <c r="H7" i="3" s="1"/>
  <c r="J7" i="3" s="1"/>
  <c r="L7" i="3" s="1"/>
  <c r="L6" i="3"/>
  <c r="E5" i="3"/>
  <c r="H5" i="3" s="1"/>
  <c r="J5" i="3" s="1"/>
  <c r="L5" i="3" s="1"/>
  <c r="E4" i="3"/>
  <c r="H4" i="3" s="1"/>
  <c r="J4" i="3" s="1"/>
  <c r="L4" i="3" s="1"/>
  <c r="E3" i="3"/>
  <c r="H3" i="3" s="1"/>
  <c r="J3" i="3" s="1"/>
  <c r="L3" i="3" s="1"/>
  <c r="E2" i="3"/>
  <c r="H2" i="3" s="1"/>
  <c r="J2" i="3" s="1"/>
  <c r="L2" i="3" s="1"/>
  <c r="L147" i="3" l="1"/>
  <c r="H210" i="3"/>
  <c r="J210" i="3" s="1"/>
  <c r="L210" i="3" s="1"/>
  <c r="E213" i="3"/>
  <c r="E215" i="3" s="1"/>
  <c r="K213" i="3"/>
  <c r="K215" i="3" s="1"/>
  <c r="I213" i="3"/>
  <c r="I215" i="3" s="1"/>
  <c r="H213" i="3" l="1"/>
  <c r="H215" i="3" s="1"/>
  <c r="J213" i="3"/>
  <c r="J215" i="3" s="1"/>
  <c r="L213" i="3"/>
  <c r="L215" i="3" s="1"/>
</calcChain>
</file>

<file path=xl/sharedStrings.xml><?xml version="1.0" encoding="utf-8"?>
<sst xmlns="http://schemas.openxmlformats.org/spreadsheetml/2006/main" count="1121" uniqueCount="273">
  <si>
    <t>رقم الحساب</t>
  </si>
  <si>
    <t>اسم الحساب</t>
  </si>
  <si>
    <t>الرصيد السابق مدين</t>
  </si>
  <si>
    <t>الرصيد السابق دائن</t>
  </si>
  <si>
    <t>حركة الفترة مدين</t>
  </si>
  <si>
    <t>حركة الفترة دائن</t>
  </si>
  <si>
    <t>الرصيد الحالي مدين</t>
  </si>
  <si>
    <t>الرصيد الحالي دائن</t>
  </si>
  <si>
    <t>رواتب وأجور/ادارية</t>
  </si>
  <si>
    <t>اضافى</t>
  </si>
  <si>
    <t>بدل اجازة</t>
  </si>
  <si>
    <t>تذاكر السفر</t>
  </si>
  <si>
    <t>مصاريف ترك الخدمة</t>
  </si>
  <si>
    <t>تامين طبي</t>
  </si>
  <si>
    <t>انتقالات</t>
  </si>
  <si>
    <t>منح ومكافآت</t>
  </si>
  <si>
    <t>بدل مأمورية-الادارة</t>
  </si>
  <si>
    <t>مصاريف اقامات</t>
  </si>
  <si>
    <t>تجديد واستخراج اقامات</t>
  </si>
  <si>
    <t>مصاريف تاشيرات</t>
  </si>
  <si>
    <t>رسوم الزكاة والدخل</t>
  </si>
  <si>
    <t>رسوم جوزات ونفل كفالة</t>
  </si>
  <si>
    <t>رسوم الغرفة ا لتجارية</t>
  </si>
  <si>
    <t>رسوم حكومية وغرفه تجارية</t>
  </si>
  <si>
    <t>رسوم ومصروفات حكومية</t>
  </si>
  <si>
    <t>غرامات حكومية</t>
  </si>
  <si>
    <t>صيانة سيارات</t>
  </si>
  <si>
    <t>ايجار سيارات</t>
  </si>
  <si>
    <t>تأمين على السيارات</t>
  </si>
  <si>
    <t>اتعاب مهنيه / محاسب قانوني</t>
  </si>
  <si>
    <t>مناقصات</t>
  </si>
  <si>
    <t>اشتراك انترنت</t>
  </si>
  <si>
    <t>اتعاب مهنية/متنوعة</t>
  </si>
  <si>
    <t>كهرباء وماء</t>
  </si>
  <si>
    <t>هاتف ثابت</t>
  </si>
  <si>
    <t>هاتف جوال</t>
  </si>
  <si>
    <t>دعاية واعلان</t>
  </si>
  <si>
    <t>ضيافة وبوفيه</t>
  </si>
  <si>
    <t>قرطاسية ومطبوعات</t>
  </si>
  <si>
    <t>صيانة متنوعه</t>
  </si>
  <si>
    <t>عمولات بنكية</t>
  </si>
  <si>
    <t>مصاريف احبار طابعات وماكينة تصوير</t>
  </si>
  <si>
    <t>مصاريف مواد  واعمال نظافة</t>
  </si>
  <si>
    <t>مصاريف متنوعه</t>
  </si>
  <si>
    <t>مواد واعمال كهرباء</t>
  </si>
  <si>
    <t>ديون معدومة</t>
  </si>
  <si>
    <t>مصروفات تدريب الموظفين</t>
  </si>
  <si>
    <t>حسومات المستخلصات</t>
  </si>
  <si>
    <t>مصروفات سكن عاملين-الادارة</t>
  </si>
  <si>
    <t>اهلاك سيارات الاداره</t>
  </si>
  <si>
    <t>اهلاك الات ومعدات الادارة</t>
  </si>
  <si>
    <t>اهلاك حاسب الي-الادارة</t>
  </si>
  <si>
    <t>عمولة ضمان ابتدائي-الرياض</t>
  </si>
  <si>
    <t>عمولة ضمان ابتدائي-الجزيرة</t>
  </si>
  <si>
    <t>عمولة ضمان ابتدائي-العربي</t>
  </si>
  <si>
    <t>عمولة ضمان نهائي-الرياض</t>
  </si>
  <si>
    <t>عمولة ضمان نهائي-الجزيرة</t>
  </si>
  <si>
    <t>عمولة ضمان نهائي-العربي</t>
  </si>
  <si>
    <t>عمولة ضمان مالي/الرياض</t>
  </si>
  <si>
    <t>عمولة ضمان دفعة مقدمه/الرياض</t>
  </si>
  <si>
    <t>عمولة قرض طويل الاجل- تجهيز موقع1(شراء اصول)/الجزيرة</t>
  </si>
  <si>
    <t>عمولة قرض طويل الاجل بنك الرياض شركة المياه الوطنية - ادارة المرافق المتكاملة</t>
  </si>
  <si>
    <t>عمولة تمويل مستخلص/الرياض</t>
  </si>
  <si>
    <t>عمولة تمويل مستخلص/الجزيرة</t>
  </si>
  <si>
    <t>عمولة قرض بنك الرياض - مشروع هئية الزكاة حراسات المنافذ</t>
  </si>
  <si>
    <t>مصاريف دراسة ائتمانية البنك السعودى للاستثمار</t>
  </si>
  <si>
    <t>مصاريف دراسة ائتمانية-الرياض</t>
  </si>
  <si>
    <t>مصاريف دراسة ائتمانية-العربي</t>
  </si>
  <si>
    <t>مصاريف دراسة ائتمانية-الجزيرة</t>
  </si>
  <si>
    <t>عمولة قرض البنك العربي - مشروع مستشفى قوى الامن الدمام</t>
  </si>
  <si>
    <t>فوائد اصول حق الاستخدام</t>
  </si>
  <si>
    <t>عمولة تمويل مستخلص/العربي</t>
  </si>
  <si>
    <t>عمولة قرض البنك العربي - مشروع رئاسة امن الدولة المباحث العامة</t>
  </si>
  <si>
    <t>عمولة قرض بنك الجزيرة - المياة الوطنية اتفاقية تثبيت اسعار</t>
  </si>
  <si>
    <t>عمولة قرض بنك الرياض - مشروع مراكز التاهيل المجموعة الرابعة</t>
  </si>
  <si>
    <t>عمولة ضمان ابتدائي - البنك السعودي للاسثمار</t>
  </si>
  <si>
    <t>عمولة ضمان نهائي البنك السعودي للاستثمار</t>
  </si>
  <si>
    <t>عمولة قرض بنك الرياض - المديرية العامة للمباحث</t>
  </si>
  <si>
    <t>عمولة قرض بنك الرياض -مراكز التاهيل المجموعة الاولي</t>
  </si>
  <si>
    <t>عمولة قرض بنك الرياض -مراكز التاهيل المجموعة السادسة</t>
  </si>
  <si>
    <t>عمولة قرض بنك الجزيرة - شركة تطوير للمباني - TBC</t>
  </si>
  <si>
    <t>عمولة قروض طويلة الاجل البنك السعودي للاستثمار</t>
  </si>
  <si>
    <t>عمولة ضمان نهائي البنك  الاهلي السعودي</t>
  </si>
  <si>
    <t>مصاريف دراسة ائتمانية البنك الاهلي  السعودى</t>
  </si>
  <si>
    <t>عمولة قرض بنك الجزيرة -مراكز التاهيل المجموعة الثالثة</t>
  </si>
  <si>
    <t>الفوائد الاكتوارية</t>
  </si>
  <si>
    <t>مكافأة نهاية خدمة</t>
  </si>
  <si>
    <t>محروقات</t>
  </si>
  <si>
    <t>ايجار معدات ووسائل نقل</t>
  </si>
  <si>
    <t>مياه</t>
  </si>
  <si>
    <t>كهرباء</t>
  </si>
  <si>
    <t>قرطاسية</t>
  </si>
  <si>
    <t>تذاكر سفر</t>
  </si>
  <si>
    <t>تأمين طبى</t>
  </si>
  <si>
    <t>اشتركات سوفت وير</t>
  </si>
  <si>
    <t>تأمينات اجتماعية</t>
  </si>
  <si>
    <t>عمولات مبيعات</t>
  </si>
  <si>
    <t>تأمين على السيارات.</t>
  </si>
  <si>
    <t>اعمال دهانات</t>
  </si>
  <si>
    <t>رسوم حكومية</t>
  </si>
  <si>
    <t>مصروفات متنوعة</t>
  </si>
  <si>
    <t>عمولات بنكية.</t>
  </si>
  <si>
    <t>اعمال تنسيق الموقع العام والري والزراعه</t>
  </si>
  <si>
    <t>مصروفات شحن وترحيل</t>
  </si>
  <si>
    <t>ايجار</t>
  </si>
  <si>
    <t>رواتب</t>
  </si>
  <si>
    <t>حسومات</t>
  </si>
  <si>
    <t>نهاية خدمة</t>
  </si>
  <si>
    <t>زيوت وشحومات</t>
  </si>
  <si>
    <t>صيانة الات ومعدات</t>
  </si>
  <si>
    <t>ادوات مكتبية قرطاسية</t>
  </si>
  <si>
    <t>هاتف</t>
  </si>
  <si>
    <t>جوال</t>
  </si>
  <si>
    <t>صيانة مزروعات</t>
  </si>
  <si>
    <t>مواد نظافة</t>
  </si>
  <si>
    <t>اعمال صيانة</t>
  </si>
  <si>
    <t>مصروفات سكن</t>
  </si>
  <si>
    <t>ايجارات</t>
  </si>
  <si>
    <t>تجهيزات المشروع</t>
  </si>
  <si>
    <t>قطع غيار ومستهلكات</t>
  </si>
  <si>
    <t>قطع غيار مستعاضة</t>
  </si>
  <si>
    <t>مواد اخرى متنوعه</t>
  </si>
  <si>
    <t>تذاكر سفر.</t>
  </si>
  <si>
    <t>انتقالات.</t>
  </si>
  <si>
    <t>مصروفات حكومية - اقامات ورخص عمل</t>
  </si>
  <si>
    <t>مصروفات تأمين طبى.</t>
  </si>
  <si>
    <t>تأمينات اجتماعية.</t>
  </si>
  <si>
    <t>مصروفات تأشيرات</t>
  </si>
  <si>
    <t>حسومات مستخلصات المشاريع</t>
  </si>
  <si>
    <t>ادوات ومعدات نظافة</t>
  </si>
  <si>
    <t>ملابس للعاملين</t>
  </si>
  <si>
    <t>قطع واجزاء كهربائية</t>
  </si>
  <si>
    <t>منح ومكافأت</t>
  </si>
  <si>
    <t>عمولات بنكيه للمشاريع</t>
  </si>
  <si>
    <t>مواد نظافة مستعاضة</t>
  </si>
  <si>
    <t>ايجار معدات وادوات</t>
  </si>
  <si>
    <t>مصروفات المستودع-مشاريع الصيانة والتشغيل</t>
  </si>
  <si>
    <t>تأمين علي مباني</t>
  </si>
  <si>
    <t>اهلاك سيارات المشاريع</t>
  </si>
  <si>
    <t>اهلاك حاسب آلى المشاريع</t>
  </si>
  <si>
    <t>اهلاك الات ومعدات المشاريع</t>
  </si>
  <si>
    <t>بدل مأمورية-المشاريع</t>
  </si>
  <si>
    <t>مصروفات مشتركة مشاريع التضامن</t>
  </si>
  <si>
    <t>دعايا واعلان مشاريع</t>
  </si>
  <si>
    <t>اعمال خدمات من الغير (تاجير عمالة)</t>
  </si>
  <si>
    <t>ايجار سيارات -مشاريع</t>
  </si>
  <si>
    <t>مصروفات نقل صرف صحي</t>
  </si>
  <si>
    <t>اعمال نظافه متنوعه</t>
  </si>
  <si>
    <t>غرامات</t>
  </si>
  <si>
    <t>اشتراك نت</t>
  </si>
  <si>
    <t>سعي ايجار</t>
  </si>
  <si>
    <t>رسوم وتراخيص حكوميه</t>
  </si>
  <si>
    <t>مصروفات ضيافة</t>
  </si>
  <si>
    <t>مصاريف ورسوم استقدام</t>
  </si>
  <si>
    <t>مصروفات معدات وادوات صيانه</t>
  </si>
  <si>
    <t>مصروفات تشغيلية-فحص سموم</t>
  </si>
  <si>
    <t>مستهلكات كهربائيه ومكانيكية-مستعاضة</t>
  </si>
  <si>
    <t>مستهلكات الزراعة والري والمبيدات الحشرية -مستعاضة</t>
  </si>
  <si>
    <t>مواد ومطهرات النظافة والغسيل ومواد العناية الشخصية -مستعاضة</t>
  </si>
  <si>
    <t>الوقود والزيوت والمحروقات -مستعاضة</t>
  </si>
  <si>
    <t>توريد المياة -مستعاضة</t>
  </si>
  <si>
    <t>مستهلكات آلات التصوير والنسخ والطابعات -مستعاضة</t>
  </si>
  <si>
    <t>مواد كيميائية و مرشحات -مستعاضة</t>
  </si>
  <si>
    <t>مستهلكات الاعمال المدنية  -مستعاضة</t>
  </si>
  <si>
    <t>قطع غيار -مستعاضة 2</t>
  </si>
  <si>
    <t>اعمال اضافية-مستعاضة (المياه الوطنية)</t>
  </si>
  <si>
    <t>قطع غيار وخدمات-مستعاضة (المياه الوطنية)</t>
  </si>
  <si>
    <t>مصروفات معالجة  نفايات - مستعاضة</t>
  </si>
  <si>
    <t>مصروفات نقل جماعي</t>
  </si>
  <si>
    <t>مقرات ادارية مستعاضة</t>
  </si>
  <si>
    <t>مشتريات مستعاضة</t>
  </si>
  <si>
    <t>مصروفات معدات خاضة -مستعاضة ( المياة الوطنية)</t>
  </si>
  <si>
    <t>مقاولين باطن - مستعاضة</t>
  </si>
  <si>
    <t>تكلفة مردم تبوك ( مخزون)</t>
  </si>
  <si>
    <t>رواتب قطاع الحاويات</t>
  </si>
  <si>
    <t>محروقات قطاع الحاويات</t>
  </si>
  <si>
    <t>مصروفات متنوعه قطاع الحاويات</t>
  </si>
  <si>
    <t>مصروفات سكن قطاع الحاويات</t>
  </si>
  <si>
    <t>جوال وهاتف-قطاع الحاويات</t>
  </si>
  <si>
    <t>صيانة سيارات-الحاويات</t>
  </si>
  <si>
    <t>قرطاسية ومطبوعات وادوات مكتبية</t>
  </si>
  <si>
    <t>عمولات بنكية-قطاع الحاويات</t>
  </si>
  <si>
    <t>تامين سيارات قطاع الحاويات</t>
  </si>
  <si>
    <t>زيوت وشحوم -  قطاع الحاويات</t>
  </si>
  <si>
    <t>رسوم حكومية.- قطاع الحاويات</t>
  </si>
  <si>
    <t>مصروف تامينات اجتماعية - قطاع الحاويات</t>
  </si>
  <si>
    <t>تحميلات اهلاك سيارات  الحاويات</t>
  </si>
  <si>
    <t>تحميلات أستهلاك الات و معدات- حاويات</t>
  </si>
  <si>
    <t>تجهيزات مشاريع - قطاع االحاويات.</t>
  </si>
  <si>
    <t>بدل اجازه-الحاويات</t>
  </si>
  <si>
    <t>نهايه خدمه-حاويات</t>
  </si>
  <si>
    <t>تذاكر سفر-الحاويات</t>
  </si>
  <si>
    <t>اضافي-الحاويات</t>
  </si>
  <si>
    <t>ايجارات الحاويات</t>
  </si>
  <si>
    <t>أستهلاك السيارات</t>
  </si>
  <si>
    <t>أستهلاك اثاث و ديكور</t>
  </si>
  <si>
    <t>أستهلاك اجهزة حاسب آلي</t>
  </si>
  <si>
    <t>أستهلاك الات و معدات</t>
  </si>
  <si>
    <t>استهلاك عدد وادوات صغيرة</t>
  </si>
  <si>
    <t>اهلاك مباني</t>
  </si>
  <si>
    <t>اهلاك اصول حق الاستخدام</t>
  </si>
  <si>
    <t>التعديلات</t>
  </si>
  <si>
    <t>صافي الرصيد الافتتاحي</t>
  </si>
  <si>
    <t>صافي الرصيد الحالي</t>
  </si>
  <si>
    <t xml:space="preserve"> الرصيد الختامي</t>
  </si>
  <si>
    <t>Mapping 1</t>
  </si>
  <si>
    <t>Mapping 2</t>
  </si>
  <si>
    <t>General and administrative expenses</t>
  </si>
  <si>
    <t>3202010026-1</t>
  </si>
  <si>
    <t>3301010011-1</t>
  </si>
  <si>
    <t>الأرباح من ودائع المرابحة لأجل</t>
  </si>
  <si>
    <t>Finance Costs</t>
  </si>
  <si>
    <t>Finance costs - Borwings</t>
  </si>
  <si>
    <t>Finance costs on lease liability</t>
  </si>
  <si>
    <t>4501010003-1</t>
  </si>
  <si>
    <t>Finance costs on EOSB</t>
  </si>
  <si>
    <t>Cost of revenue</t>
  </si>
  <si>
    <t>Vehicles and fuel expense</t>
  </si>
  <si>
    <t>Other expenses</t>
  </si>
  <si>
    <t>Utilities</t>
  </si>
  <si>
    <t>Wages, salaries</t>
  </si>
  <si>
    <t>Spare Parts &amp; Consumables</t>
  </si>
  <si>
    <t>Labor Housing</t>
  </si>
  <si>
    <t>Government expenses</t>
  </si>
  <si>
    <t>Maintenance</t>
  </si>
  <si>
    <t>Depreciation PP&amp;E</t>
  </si>
  <si>
    <t>External labor</t>
  </si>
  <si>
    <t>Amortization ROU</t>
  </si>
  <si>
    <t>Expenses for Joint venture</t>
  </si>
  <si>
    <t>385 بيت الخبر</t>
  </si>
  <si>
    <t>163 عمومية بيت الخبرة</t>
  </si>
  <si>
    <t>70398.21 رواتب عمومية منشآت</t>
  </si>
  <si>
    <t>2000 اتعاب مهنية متنوعة مؤسسة</t>
  </si>
  <si>
    <t>90.21 استهلاك اثاث و ديكور عمومية مؤسسة</t>
  </si>
  <si>
    <t>1200 عمومية بدل مأمورية مؤسسة</t>
  </si>
  <si>
    <t>600 رسوم حكومية و غرفة تجارية مؤسسة عمومية</t>
  </si>
  <si>
    <t xml:space="preserve"> رواتب عمومية مؤسسة 100661.82</t>
  </si>
  <si>
    <t>161982 فوائد حق استخدام مؤسسة</t>
  </si>
  <si>
    <t>4266.66مخصص اجازة مؤسسة</t>
  </si>
  <si>
    <t>2916.66منح و مكافآت مؤسسة</t>
  </si>
  <si>
    <t>61114منح و مكافآت مؤسسة</t>
  </si>
  <si>
    <t>7015اشتراك انترنت عمومية مؤسسة</t>
  </si>
  <si>
    <t>900 منح و مكافآت القطاع الجنوبي</t>
  </si>
  <si>
    <t>Salaries and wages</t>
  </si>
  <si>
    <t>Other Exp.</t>
  </si>
  <si>
    <t>Government Exp.</t>
  </si>
  <si>
    <t>Professional fees</t>
  </si>
  <si>
    <t>Tele, mail and internet</t>
  </si>
  <si>
    <t>Bank fees</t>
  </si>
  <si>
    <t>AR - ECL</t>
  </si>
  <si>
    <t>Impairement expense - Prepayments</t>
  </si>
  <si>
    <t>zakat expense</t>
  </si>
  <si>
    <t>BS/IS</t>
  </si>
  <si>
    <t>Income Statement</t>
  </si>
  <si>
    <t>LC Mapping</t>
  </si>
  <si>
    <t>LC Mapping 2</t>
  </si>
  <si>
    <t>Salaries &amp; Wages</t>
  </si>
  <si>
    <t>Salaries</t>
  </si>
  <si>
    <t>Overtime</t>
  </si>
  <si>
    <t>Vacation benefit</t>
  </si>
  <si>
    <t>Tickets</t>
  </si>
  <si>
    <t>EOS</t>
  </si>
  <si>
    <t>Purchases</t>
  </si>
  <si>
    <t>Bonus</t>
  </si>
  <si>
    <t>Other allowances</t>
  </si>
  <si>
    <t>Government fees</t>
  </si>
  <si>
    <t>Zakat Expense</t>
  </si>
  <si>
    <t>Non Cash Transactions</t>
  </si>
  <si>
    <t>Depreciation</t>
  </si>
  <si>
    <t>Social Insurance</t>
  </si>
  <si>
    <t>3101020012-1</t>
  </si>
  <si>
    <t>3204010026-1</t>
  </si>
  <si>
    <t>3101010006-1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</si>
</sst>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name val="Calibri"/>
    </font>
    <font>
      <b/>
      <sz val="12"/>
      <name val="Times New Roman"/>
      <family val="1"/>
    </font>
    <font>
      <sz val="11"/>
      <name val="Times New Roman"/>
      <family val="1"/>
    </font>
    <font>
      <b/>
      <sz val="11"/>
      <name val="Times New Roman"/>
      <family val="1"/>
    </font>
    <font>
      <sz val="11"/>
      <name val="Calibri"/>
      <family val="2"/>
    </font>
    <font>
      <sz val="11"/>
      <color theme="1"/>
      <name val="Aptos Narrow"/>
      <family val="2"/>
      <charset val="178"/>
      <scheme val="minor"/>
    </font>
    <font>
      <sz val="11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5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0" borderId="0" xfId="0" applyFont="1"/>
    <xf numFmtId="37" fontId="2" fillId="0" borderId="3" xfId="0" applyNumberFormat="1" applyFont="1" applyBorder="1" applyAlignment="1">
      <alignment horizontal="center" vertical="center" wrapText="1"/>
    </xf>
    <xf numFmtId="37" fontId="2" fillId="3" borderId="3" xfId="0" applyNumberFormat="1" applyFont="1" applyFill="1" applyBorder="1"/>
    <xf numFmtId="37" fontId="2" fillId="0" borderId="2" xfId="0" applyNumberFormat="1" applyFont="1" applyBorder="1" applyAlignment="1">
      <alignment horizontal="center" vertical="center" wrapText="1"/>
    </xf>
    <xf numFmtId="37" fontId="2" fillId="0" borderId="2" xfId="0" applyNumberFormat="1" applyFont="1" applyBorder="1"/>
    <xf numFmtId="37" fontId="3" fillId="2" borderId="1" xfId="0" applyNumberFormat="1" applyFont="1" applyFill="1" applyBorder="1" applyAlignment="1">
      <alignment horizontal="center" vertical="center" wrapText="1"/>
    </xf>
    <xf numFmtId="37" fontId="2" fillId="0" borderId="0" xfId="0" applyNumberFormat="1" applyFont="1"/>
    <xf numFmtId="0" fontId="4" fillId="0" borderId="0" xfId="0" applyFont="1"/>
    <xf numFmtId="37" fontId="2" fillId="4" borderId="2" xfId="0" applyNumberFormat="1" applyFont="1" applyFill="1" applyBorder="1"/>
    <xf numFmtId="0" fontId="6" fillId="0" borderId="2" xfId="0" applyFont="1" applyBorder="1"/>
    <xf numFmtId="0" fontId="6" fillId="4" borderId="2" xfId="0" applyFont="1" applyFill="1" applyBorder="1"/>
    <xf numFmtId="0" fontId="2" fillId="4" borderId="0" xfId="0" applyFont="1" applyFill="1"/>
  </cellXfs>
  <cellStyles count="2">
    <cellStyle name="Normal" xfId="0" builtinId="0"/>
    <cellStyle name="Normal 10" xfId="1" xr:uid="{F98188AB-9BEB-4246-8D8D-6BB64C8AE2BD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8F30B2-F5DB-4B7B-81A9-2A88A044A133}">
  <dimension ref="A1:T215"/>
  <sheetViews>
    <sheetView tabSelected="1" topLeftCell="J1" zoomScaleNormal="100" workbookViewId="0">
      <pane ySplit="1" topLeftCell="A97" activePane="bottomLeft" state="frozen"/>
      <selection pane="bottomLeft" activeCell="O1" sqref="O1"/>
    </sheetView>
  </sheetViews>
  <sheetFormatPr defaultRowHeight="15" x14ac:dyDescent="0.25"/>
  <cols>
    <col min="1" max="1" width="12.5703125" style="4" customWidth="1"/>
    <col min="2" max="2" width="20" style="4" customWidth="1"/>
    <col min="3" max="3" width="19.85546875" style="4" hidden="1" customWidth="1"/>
    <col min="4" max="4" width="19.42578125" style="4" hidden="1" customWidth="1"/>
    <col min="5" max="5" width="22.28515625" style="4" bestFit="1" customWidth="1"/>
    <col min="6" max="6" width="17.85546875" style="4" bestFit="1" customWidth="1"/>
    <col min="7" max="7" width="17.28515625" style="4" bestFit="1" customWidth="1"/>
    <col min="8" max="8" width="19.7109375" style="4" hidden="1" customWidth="1"/>
    <col min="9" max="9" width="19.28515625" style="4" hidden="1" customWidth="1"/>
    <col min="10" max="10" width="20.42578125" style="4" bestFit="1" customWidth="1"/>
    <col min="11" max="11" width="13.28515625" style="4" customWidth="1"/>
    <col min="12" max="13" width="17.28515625" style="4" customWidth="1"/>
    <col min="14" max="14" width="31.85546875" style="4" customWidth="1"/>
    <col min="15" max="15" width="26.42578125" style="4" bestFit="1" customWidth="1"/>
    <col min="16" max="16" width="13.28515625" style="4" customWidth="1"/>
    <col min="17" max="17" width="14.85546875" style="4" bestFit="1" customWidth="1"/>
  </cols>
  <sheetData>
    <row r="1" spans="1:17" ht="17.25" thickTop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202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203</v>
      </c>
      <c r="K1" s="1" t="s">
        <v>201</v>
      </c>
      <c r="L1" s="1" t="s">
        <v>204</v>
      </c>
      <c r="M1" s="1" t="s">
        <v>252</v>
      </c>
      <c r="N1" s="1" t="s">
        <v>205</v>
      </c>
      <c r="O1" s="1" t="s">
        <v>206</v>
      </c>
      <c r="P1" s="1" t="s">
        <v>254</v>
      </c>
      <c r="Q1" s="1" t="s">
        <v>255</v>
      </c>
    </row>
    <row r="2" spans="1:17" ht="15.75" thickTop="1" x14ac:dyDescent="0.25">
      <c r="A2" s="2">
        <v>3101010001</v>
      </c>
      <c r="B2" s="2" t="s">
        <v>8</v>
      </c>
      <c r="C2" s="7"/>
      <c r="D2" s="7"/>
      <c r="E2" s="5">
        <f t="shared" ref="E2:E5" si="0">C2-D2</f>
        <v>0</v>
      </c>
      <c r="F2" s="7">
        <v>11313046.77</v>
      </c>
      <c r="G2" s="7">
        <v>6277.66</v>
      </c>
      <c r="H2" s="5">
        <f>E2+F2-G2</f>
        <v>11306769.109999999</v>
      </c>
      <c r="I2" s="7"/>
      <c r="J2" s="5">
        <f t="shared" ref="J2:J5" si="1">H2-I2</f>
        <v>11306769.109999999</v>
      </c>
      <c r="K2" s="8"/>
      <c r="L2" s="6">
        <f t="shared" ref="L2:L29" si="2">J2+K2</f>
        <v>11306769.109999999</v>
      </c>
      <c r="M2" s="6" t="s">
        <v>253</v>
      </c>
      <c r="N2" s="8" t="s">
        <v>207</v>
      </c>
      <c r="O2" s="12" t="s">
        <v>243</v>
      </c>
      <c r="P2" s="12" t="s">
        <v>256</v>
      </c>
      <c r="Q2" s="8" t="s">
        <v>257</v>
      </c>
    </row>
    <row r="3" spans="1:17" x14ac:dyDescent="0.25">
      <c r="A3" s="2">
        <v>3101010002</v>
      </c>
      <c r="B3" s="2" t="s">
        <v>9</v>
      </c>
      <c r="C3" s="7"/>
      <c r="D3" s="7"/>
      <c r="E3" s="5">
        <f t="shared" si="0"/>
        <v>0</v>
      </c>
      <c r="F3" s="7">
        <v>86121.11</v>
      </c>
      <c r="G3" s="7">
        <v>0</v>
      </c>
      <c r="H3" s="5">
        <f>E3+F3-G3</f>
        <v>86121.11</v>
      </c>
      <c r="I3" s="7"/>
      <c r="J3" s="5">
        <f t="shared" si="1"/>
        <v>86121.11</v>
      </c>
      <c r="K3" s="8"/>
      <c r="L3" s="6">
        <f t="shared" si="2"/>
        <v>86121.11</v>
      </c>
      <c r="M3" s="6" t="s">
        <v>253</v>
      </c>
      <c r="N3" s="8" t="s">
        <v>207</v>
      </c>
      <c r="O3" s="12" t="s">
        <v>243</v>
      </c>
      <c r="P3" s="12" t="s">
        <v>256</v>
      </c>
      <c r="Q3" s="8" t="s">
        <v>258</v>
      </c>
    </row>
    <row r="4" spans="1:17" x14ac:dyDescent="0.25">
      <c r="A4" s="2">
        <v>3101010005</v>
      </c>
      <c r="B4" s="2" t="s">
        <v>10</v>
      </c>
      <c r="C4" s="7"/>
      <c r="D4" s="7"/>
      <c r="E4" s="5">
        <f t="shared" si="0"/>
        <v>0</v>
      </c>
      <c r="F4" s="7">
        <v>684971.32</v>
      </c>
      <c r="G4" s="7">
        <v>0</v>
      </c>
      <c r="H4" s="5">
        <f>E4+F4-G4</f>
        <v>684971.32</v>
      </c>
      <c r="I4" s="7"/>
      <c r="J4" s="5">
        <f t="shared" si="1"/>
        <v>684971.32</v>
      </c>
      <c r="K4" s="8"/>
      <c r="L4" s="6">
        <f t="shared" si="2"/>
        <v>684971.32</v>
      </c>
      <c r="M4" s="6" t="s">
        <v>253</v>
      </c>
      <c r="N4" s="8" t="s">
        <v>207</v>
      </c>
      <c r="O4" s="12" t="s">
        <v>243</v>
      </c>
      <c r="P4" s="12" t="s">
        <v>256</v>
      </c>
      <c r="Q4" s="8" t="s">
        <v>259</v>
      </c>
    </row>
    <row r="5" spans="1:17" x14ac:dyDescent="0.25">
      <c r="A5" s="2">
        <v>3101010006</v>
      </c>
      <c r="B5" s="2" t="s">
        <v>11</v>
      </c>
      <c r="C5" s="7"/>
      <c r="D5" s="7"/>
      <c r="E5" s="5">
        <f t="shared" si="0"/>
        <v>0</v>
      </c>
      <c r="F5" s="7">
        <v>310781.15999999997</v>
      </c>
      <c r="G5" s="7">
        <v>0</v>
      </c>
      <c r="H5" s="5">
        <f>E5+F5-G5</f>
        <v>310781.15999999997</v>
      </c>
      <c r="I5" s="7"/>
      <c r="J5" s="5">
        <f t="shared" si="1"/>
        <v>310781.15999999997</v>
      </c>
      <c r="K5" s="8">
        <v>-183227.28</v>
      </c>
      <c r="L5" s="6">
        <f t="shared" si="2"/>
        <v>127553.87999999998</v>
      </c>
      <c r="M5" s="6" t="s">
        <v>253</v>
      </c>
      <c r="N5" s="8" t="s">
        <v>207</v>
      </c>
      <c r="O5" s="12" t="s">
        <v>243</v>
      </c>
      <c r="P5" s="12" t="s">
        <v>256</v>
      </c>
      <c r="Q5" s="8" t="s">
        <v>260</v>
      </c>
    </row>
    <row r="6" spans="1:17" ht="30" x14ac:dyDescent="0.25">
      <c r="A6" s="2" t="s">
        <v>272</v>
      </c>
      <c r="B6" s="2" t="s">
        <v>11</v>
      </c>
      <c r="C6" s="7"/>
      <c r="D6" s="7"/>
      <c r="E6" s="5"/>
      <c r="F6" s="7"/>
      <c r="G6" s="7"/>
      <c r="H6" s="5"/>
      <c r="I6" s="7"/>
      <c r="J6" s="5"/>
      <c r="K6" s="8">
        <v>183227.28</v>
      </c>
      <c r="L6" s="6">
        <f t="shared" si="2"/>
        <v>183227.28</v>
      </c>
      <c r="M6" s="6" t="s">
        <v>253</v>
      </c>
      <c r="N6" s="8" t="s">
        <v>207</v>
      </c>
      <c r="O6" s="12" t="s">
        <v>243</v>
      </c>
      <c r="P6" s="12" t="s">
        <v>262</v>
      </c>
      <c r="Q6" s="8"/>
    </row>
    <row r="7" spans="1:17" x14ac:dyDescent="0.25">
      <c r="A7" s="2">
        <v>3101010007</v>
      </c>
      <c r="B7" s="2" t="s">
        <v>12</v>
      </c>
      <c r="C7" s="7"/>
      <c r="D7" s="7"/>
      <c r="E7" s="5">
        <f t="shared" ref="E7:E19" si="3">C7-D7</f>
        <v>0</v>
      </c>
      <c r="F7" s="7">
        <v>495240.71</v>
      </c>
      <c r="G7" s="7">
        <v>0</v>
      </c>
      <c r="H7" s="5">
        <f t="shared" ref="H7:H15" si="4">E7+F7-G7</f>
        <v>495240.71</v>
      </c>
      <c r="I7" s="7"/>
      <c r="J7" s="5">
        <f t="shared" ref="J7:J19" si="5">H7-I7</f>
        <v>495240.71</v>
      </c>
      <c r="K7" s="8"/>
      <c r="L7" s="6">
        <f t="shared" si="2"/>
        <v>495240.71</v>
      </c>
      <c r="M7" s="6" t="s">
        <v>253</v>
      </c>
      <c r="N7" s="8" t="s">
        <v>207</v>
      </c>
      <c r="O7" s="12" t="s">
        <v>243</v>
      </c>
      <c r="P7" s="12" t="s">
        <v>256</v>
      </c>
      <c r="Q7" s="8" t="s">
        <v>261</v>
      </c>
    </row>
    <row r="8" spans="1:17" x14ac:dyDescent="0.25">
      <c r="A8" s="2">
        <v>3101010009</v>
      </c>
      <c r="B8" s="2" t="s">
        <v>13</v>
      </c>
      <c r="C8" s="7"/>
      <c r="D8" s="7"/>
      <c r="E8" s="5">
        <f t="shared" si="3"/>
        <v>0</v>
      </c>
      <c r="F8" s="7">
        <v>92618.11</v>
      </c>
      <c r="G8" s="7">
        <v>0</v>
      </c>
      <c r="H8" s="5">
        <f t="shared" si="4"/>
        <v>92618.11</v>
      </c>
      <c r="I8" s="7"/>
      <c r="J8" s="5">
        <f t="shared" si="5"/>
        <v>92618.11</v>
      </c>
      <c r="K8" s="8"/>
      <c r="L8" s="6">
        <f t="shared" si="2"/>
        <v>92618.11</v>
      </c>
      <c r="M8" s="6" t="s">
        <v>253</v>
      </c>
      <c r="N8" s="8" t="s">
        <v>207</v>
      </c>
      <c r="O8" s="12" t="s">
        <v>244</v>
      </c>
      <c r="P8" s="12" t="s">
        <v>262</v>
      </c>
      <c r="Q8" s="8"/>
    </row>
    <row r="9" spans="1:17" x14ac:dyDescent="0.25">
      <c r="A9" s="2">
        <v>3101010010</v>
      </c>
      <c r="B9" s="2" t="s">
        <v>14</v>
      </c>
      <c r="C9" s="7"/>
      <c r="D9" s="7"/>
      <c r="E9" s="5">
        <f t="shared" si="3"/>
        <v>0</v>
      </c>
      <c r="F9" s="7">
        <v>125</v>
      </c>
      <c r="G9" s="7">
        <v>0</v>
      </c>
      <c r="H9" s="5">
        <f t="shared" si="4"/>
        <v>125</v>
      </c>
      <c r="I9" s="7"/>
      <c r="J9" s="5">
        <f t="shared" si="5"/>
        <v>125</v>
      </c>
      <c r="K9" s="8"/>
      <c r="L9" s="6">
        <f t="shared" si="2"/>
        <v>125</v>
      </c>
      <c r="M9" s="6" t="s">
        <v>253</v>
      </c>
      <c r="N9" s="8" t="s">
        <v>207</v>
      </c>
      <c r="O9" s="12" t="s">
        <v>243</v>
      </c>
      <c r="P9" s="12" t="s">
        <v>262</v>
      </c>
      <c r="Q9" s="8"/>
    </row>
    <row r="10" spans="1:17" x14ac:dyDescent="0.25">
      <c r="A10" s="2">
        <v>3101010011</v>
      </c>
      <c r="B10" s="2" t="s">
        <v>15</v>
      </c>
      <c r="C10" s="7"/>
      <c r="D10" s="7"/>
      <c r="E10" s="5">
        <f t="shared" si="3"/>
        <v>0</v>
      </c>
      <c r="F10" s="7">
        <v>190841.5</v>
      </c>
      <c r="G10" s="7">
        <v>0</v>
      </c>
      <c r="H10" s="5">
        <f t="shared" si="4"/>
        <v>190841.5</v>
      </c>
      <c r="I10" s="7"/>
      <c r="J10" s="5">
        <f t="shared" si="5"/>
        <v>190841.5</v>
      </c>
      <c r="K10" s="8"/>
      <c r="L10" s="6">
        <f t="shared" si="2"/>
        <v>190841.5</v>
      </c>
      <c r="M10" s="6" t="s">
        <v>253</v>
      </c>
      <c r="N10" s="8" t="s">
        <v>207</v>
      </c>
      <c r="O10" s="12" t="s">
        <v>243</v>
      </c>
      <c r="P10" s="12" t="s">
        <v>256</v>
      </c>
      <c r="Q10" s="8" t="s">
        <v>263</v>
      </c>
    </row>
    <row r="11" spans="1:17" x14ac:dyDescent="0.25">
      <c r="A11" s="2">
        <v>3101010012</v>
      </c>
      <c r="B11" s="2" t="s">
        <v>16</v>
      </c>
      <c r="C11" s="7"/>
      <c r="D11" s="7"/>
      <c r="E11" s="5">
        <f t="shared" si="3"/>
        <v>0</v>
      </c>
      <c r="F11" s="7">
        <v>104203.4</v>
      </c>
      <c r="G11" s="7">
        <v>0</v>
      </c>
      <c r="H11" s="5">
        <f t="shared" si="4"/>
        <v>104203.4</v>
      </c>
      <c r="I11" s="7"/>
      <c r="J11" s="5">
        <f t="shared" si="5"/>
        <v>104203.4</v>
      </c>
      <c r="K11" s="8"/>
      <c r="L11" s="6">
        <f t="shared" si="2"/>
        <v>104203.4</v>
      </c>
      <c r="M11" s="6" t="s">
        <v>253</v>
      </c>
      <c r="N11" s="8" t="s">
        <v>207</v>
      </c>
      <c r="O11" s="12" t="s">
        <v>244</v>
      </c>
      <c r="P11" s="12" t="s">
        <v>256</v>
      </c>
      <c r="Q11" s="8" t="s">
        <v>264</v>
      </c>
    </row>
    <row r="12" spans="1:17" x14ac:dyDescent="0.25">
      <c r="A12" s="2">
        <v>3101020001</v>
      </c>
      <c r="B12" s="2" t="s">
        <v>17</v>
      </c>
      <c r="C12" s="7"/>
      <c r="D12" s="7"/>
      <c r="E12" s="5">
        <f t="shared" si="3"/>
        <v>0</v>
      </c>
      <c r="F12" s="7">
        <v>7762.54</v>
      </c>
      <c r="G12" s="7">
        <v>0</v>
      </c>
      <c r="H12" s="5">
        <f t="shared" si="4"/>
        <v>7762.54</v>
      </c>
      <c r="I12" s="7"/>
      <c r="J12" s="5">
        <f t="shared" si="5"/>
        <v>7762.54</v>
      </c>
      <c r="K12" s="8"/>
      <c r="L12" s="6">
        <f t="shared" si="2"/>
        <v>7762.54</v>
      </c>
      <c r="M12" s="6" t="s">
        <v>253</v>
      </c>
      <c r="N12" s="8" t="s">
        <v>207</v>
      </c>
      <c r="O12" s="12" t="s">
        <v>245</v>
      </c>
      <c r="P12" s="12" t="s">
        <v>265</v>
      </c>
      <c r="Q12" s="8"/>
    </row>
    <row r="13" spans="1:17" x14ac:dyDescent="0.25">
      <c r="A13" s="2">
        <v>3101020002</v>
      </c>
      <c r="B13" s="2" t="s">
        <v>18</v>
      </c>
      <c r="C13" s="7"/>
      <c r="D13" s="7"/>
      <c r="E13" s="5">
        <f t="shared" si="3"/>
        <v>0</v>
      </c>
      <c r="F13" s="7">
        <v>2699586.31</v>
      </c>
      <c r="G13" s="7">
        <v>83232</v>
      </c>
      <c r="H13" s="5">
        <f t="shared" si="4"/>
        <v>2616354.31</v>
      </c>
      <c r="I13" s="7"/>
      <c r="J13" s="5">
        <f t="shared" si="5"/>
        <v>2616354.31</v>
      </c>
      <c r="K13" s="8"/>
      <c r="L13" s="6">
        <f t="shared" si="2"/>
        <v>2616354.31</v>
      </c>
      <c r="M13" s="6" t="s">
        <v>253</v>
      </c>
      <c r="N13" s="8" t="s">
        <v>207</v>
      </c>
      <c r="O13" s="12" t="s">
        <v>245</v>
      </c>
      <c r="P13" s="12" t="s">
        <v>265</v>
      </c>
      <c r="Q13" s="8"/>
    </row>
    <row r="14" spans="1:17" x14ac:dyDescent="0.25">
      <c r="A14" s="2">
        <v>3101020003</v>
      </c>
      <c r="B14" s="2" t="s">
        <v>19</v>
      </c>
      <c r="C14" s="7"/>
      <c r="D14" s="7"/>
      <c r="E14" s="5">
        <f t="shared" si="3"/>
        <v>0</v>
      </c>
      <c r="F14" s="7">
        <v>100000</v>
      </c>
      <c r="G14" s="7">
        <v>0</v>
      </c>
      <c r="H14" s="5">
        <f t="shared" si="4"/>
        <v>100000</v>
      </c>
      <c r="I14" s="7"/>
      <c r="J14" s="5">
        <f t="shared" si="5"/>
        <v>100000</v>
      </c>
      <c r="K14" s="8"/>
      <c r="L14" s="6">
        <f t="shared" si="2"/>
        <v>100000</v>
      </c>
      <c r="M14" s="6" t="s">
        <v>253</v>
      </c>
      <c r="N14" s="8" t="s">
        <v>207</v>
      </c>
      <c r="O14" s="12" t="s">
        <v>245</v>
      </c>
      <c r="P14" s="12" t="s">
        <v>265</v>
      </c>
      <c r="Q14" s="8"/>
    </row>
    <row r="15" spans="1:17" x14ac:dyDescent="0.25">
      <c r="A15" s="2">
        <v>3101020005</v>
      </c>
      <c r="B15" s="2" t="s">
        <v>20</v>
      </c>
      <c r="C15" s="7"/>
      <c r="D15" s="7"/>
      <c r="E15" s="5">
        <f t="shared" si="3"/>
        <v>0</v>
      </c>
      <c r="F15" s="7">
        <v>2583436.63</v>
      </c>
      <c r="G15" s="7">
        <v>8180</v>
      </c>
      <c r="H15" s="5">
        <f t="shared" si="4"/>
        <v>2575256.63</v>
      </c>
      <c r="I15" s="7"/>
      <c r="J15" s="5">
        <f t="shared" si="5"/>
        <v>2575256.63</v>
      </c>
      <c r="K15" s="8"/>
      <c r="L15" s="6">
        <f t="shared" si="2"/>
        <v>2575256.63</v>
      </c>
      <c r="M15" s="6" t="s">
        <v>253</v>
      </c>
      <c r="N15" s="8" t="s">
        <v>251</v>
      </c>
      <c r="O15" s="12" t="s">
        <v>251</v>
      </c>
      <c r="P15" s="12" t="s">
        <v>266</v>
      </c>
      <c r="Q15" s="8"/>
    </row>
    <row r="16" spans="1:17" x14ac:dyDescent="0.25">
      <c r="A16" s="2">
        <v>3101020007</v>
      </c>
      <c r="B16" s="2" t="s">
        <v>21</v>
      </c>
      <c r="C16" s="7"/>
      <c r="D16" s="7"/>
      <c r="E16" s="5">
        <f t="shared" si="3"/>
        <v>0</v>
      </c>
      <c r="F16" s="7">
        <v>0</v>
      </c>
      <c r="G16" s="7">
        <v>11360</v>
      </c>
      <c r="H16" s="7"/>
      <c r="I16" s="7">
        <f>-E16+G16-F16</f>
        <v>11360</v>
      </c>
      <c r="J16" s="5">
        <f t="shared" si="5"/>
        <v>-11360</v>
      </c>
      <c r="K16" s="8"/>
      <c r="L16" s="6">
        <f t="shared" si="2"/>
        <v>-11360</v>
      </c>
      <c r="M16" s="6" t="s">
        <v>253</v>
      </c>
      <c r="N16" s="8" t="s">
        <v>207</v>
      </c>
      <c r="O16" s="12" t="s">
        <v>245</v>
      </c>
      <c r="P16" s="12" t="s">
        <v>265</v>
      </c>
      <c r="Q16" s="8"/>
    </row>
    <row r="17" spans="1:17" x14ac:dyDescent="0.25">
      <c r="A17" s="2">
        <v>3101020009</v>
      </c>
      <c r="B17" s="2" t="s">
        <v>22</v>
      </c>
      <c r="C17" s="7"/>
      <c r="D17" s="7"/>
      <c r="E17" s="5">
        <f t="shared" si="3"/>
        <v>0</v>
      </c>
      <c r="F17" s="7">
        <v>1400</v>
      </c>
      <c r="G17" s="7">
        <v>0</v>
      </c>
      <c r="H17" s="5">
        <f>E17+F17-G17</f>
        <v>1400</v>
      </c>
      <c r="I17" s="7"/>
      <c r="J17" s="5">
        <f t="shared" si="5"/>
        <v>1400</v>
      </c>
      <c r="K17" s="8"/>
      <c r="L17" s="6">
        <f t="shared" si="2"/>
        <v>1400</v>
      </c>
      <c r="M17" s="6" t="s">
        <v>253</v>
      </c>
      <c r="N17" s="8" t="s">
        <v>207</v>
      </c>
      <c r="O17" s="12" t="s">
        <v>245</v>
      </c>
      <c r="P17" s="12" t="s">
        <v>265</v>
      </c>
      <c r="Q17" s="8"/>
    </row>
    <row r="18" spans="1:17" ht="30" x14ac:dyDescent="0.25">
      <c r="A18" s="2">
        <v>3101020011</v>
      </c>
      <c r="B18" s="2" t="s">
        <v>23</v>
      </c>
      <c r="C18" s="7"/>
      <c r="D18" s="7"/>
      <c r="E18" s="5">
        <f t="shared" si="3"/>
        <v>0</v>
      </c>
      <c r="F18" s="7">
        <v>744794.21</v>
      </c>
      <c r="G18" s="7">
        <v>13699.75</v>
      </c>
      <c r="H18" s="5">
        <f>E18+F18-G18</f>
        <v>731094.46</v>
      </c>
      <c r="I18" s="7"/>
      <c r="J18" s="5">
        <f t="shared" si="5"/>
        <v>731094.46</v>
      </c>
      <c r="L18" s="6">
        <f t="shared" si="2"/>
        <v>731094.46</v>
      </c>
      <c r="M18" s="6" t="s">
        <v>253</v>
      </c>
      <c r="N18" s="8" t="s">
        <v>207</v>
      </c>
      <c r="O18" s="12" t="s">
        <v>245</v>
      </c>
      <c r="P18" s="12" t="s">
        <v>265</v>
      </c>
      <c r="Q18" s="8"/>
    </row>
    <row r="19" spans="1:17" x14ac:dyDescent="0.25">
      <c r="A19" s="2">
        <v>3101020012</v>
      </c>
      <c r="B19" s="2" t="s">
        <v>24</v>
      </c>
      <c r="C19" s="7"/>
      <c r="D19" s="7"/>
      <c r="E19" s="5">
        <f t="shared" si="3"/>
        <v>0</v>
      </c>
      <c r="F19" s="7">
        <v>119839.61</v>
      </c>
      <c r="G19" s="7">
        <v>22463.01</v>
      </c>
      <c r="H19" s="5">
        <f>E19+F19-G19</f>
        <v>97376.6</v>
      </c>
      <c r="I19" s="7"/>
      <c r="J19" s="5">
        <f t="shared" si="5"/>
        <v>97376.6</v>
      </c>
      <c r="K19" s="8">
        <v>-69000</v>
      </c>
      <c r="L19" s="6">
        <f t="shared" si="2"/>
        <v>28376.600000000006</v>
      </c>
      <c r="M19" s="6" t="s">
        <v>253</v>
      </c>
      <c r="N19" s="8" t="s">
        <v>207</v>
      </c>
      <c r="O19" s="12" t="s">
        <v>245</v>
      </c>
      <c r="P19" s="12" t="s">
        <v>265</v>
      </c>
      <c r="Q19" s="8"/>
    </row>
    <row r="20" spans="1:17" ht="30" x14ac:dyDescent="0.25">
      <c r="A20" s="2" t="s">
        <v>270</v>
      </c>
      <c r="B20" s="2" t="s">
        <v>24</v>
      </c>
      <c r="C20" s="7"/>
      <c r="D20" s="7"/>
      <c r="E20" s="5"/>
      <c r="F20" s="7"/>
      <c r="G20" s="7"/>
      <c r="H20" s="5"/>
      <c r="I20" s="7"/>
      <c r="J20" s="5"/>
      <c r="K20" s="8">
        <v>69000</v>
      </c>
      <c r="L20" s="6">
        <f t="shared" si="2"/>
        <v>69000</v>
      </c>
      <c r="M20" s="6" t="s">
        <v>253</v>
      </c>
      <c r="N20" s="8" t="s">
        <v>207</v>
      </c>
      <c r="O20" s="12" t="s">
        <v>245</v>
      </c>
      <c r="P20" s="12" t="s">
        <v>262</v>
      </c>
      <c r="Q20" s="8"/>
    </row>
    <row r="21" spans="1:17" x14ac:dyDescent="0.25">
      <c r="A21" s="2">
        <v>3101020014</v>
      </c>
      <c r="B21" s="2" t="s">
        <v>25</v>
      </c>
      <c r="C21" s="7"/>
      <c r="D21" s="7"/>
      <c r="E21" s="5">
        <f t="shared" ref="E21:E84" si="6">C21-D21</f>
        <v>0</v>
      </c>
      <c r="F21" s="7">
        <v>20738</v>
      </c>
      <c r="G21" s="7">
        <v>20300</v>
      </c>
      <c r="H21" s="5">
        <f t="shared" ref="H21:H42" si="7">E21+F21-G21</f>
        <v>438</v>
      </c>
      <c r="I21" s="7"/>
      <c r="J21" s="5">
        <f t="shared" ref="J21:J84" si="8">H21-I21</f>
        <v>438</v>
      </c>
      <c r="K21" s="8"/>
      <c r="L21" s="6">
        <f t="shared" si="2"/>
        <v>438</v>
      </c>
      <c r="M21" s="6" t="s">
        <v>253</v>
      </c>
      <c r="N21" s="8" t="s">
        <v>207</v>
      </c>
      <c r="O21" s="12" t="s">
        <v>244</v>
      </c>
      <c r="P21" s="12" t="s">
        <v>265</v>
      </c>
      <c r="Q21" s="8"/>
    </row>
    <row r="22" spans="1:17" x14ac:dyDescent="0.25">
      <c r="A22" s="2">
        <v>3101030001</v>
      </c>
      <c r="B22" s="2" t="s">
        <v>26</v>
      </c>
      <c r="C22" s="7"/>
      <c r="D22" s="7"/>
      <c r="E22" s="5">
        <f t="shared" si="6"/>
        <v>0</v>
      </c>
      <c r="F22" s="7">
        <v>24518.39</v>
      </c>
      <c r="G22" s="7">
        <v>14956</v>
      </c>
      <c r="H22" s="5">
        <f t="shared" si="7"/>
        <v>9562.39</v>
      </c>
      <c r="I22" s="7"/>
      <c r="J22" s="5">
        <f t="shared" si="8"/>
        <v>9562.39</v>
      </c>
      <c r="K22" s="8"/>
      <c r="L22" s="6">
        <f t="shared" si="2"/>
        <v>9562.39</v>
      </c>
      <c r="M22" s="6" t="s">
        <v>253</v>
      </c>
      <c r="N22" s="8" t="s">
        <v>207</v>
      </c>
      <c r="O22" s="12" t="s">
        <v>244</v>
      </c>
      <c r="P22" s="12" t="s">
        <v>262</v>
      </c>
      <c r="Q22" s="8"/>
    </row>
    <row r="23" spans="1:17" x14ac:dyDescent="0.25">
      <c r="A23" s="2">
        <v>3101030004</v>
      </c>
      <c r="B23" s="2" t="s">
        <v>27</v>
      </c>
      <c r="C23" s="7"/>
      <c r="D23" s="7"/>
      <c r="E23" s="5">
        <f t="shared" si="6"/>
        <v>0</v>
      </c>
      <c r="F23" s="7">
        <v>290283.23</v>
      </c>
      <c r="G23" s="7">
        <v>0</v>
      </c>
      <c r="H23" s="5">
        <f t="shared" si="7"/>
        <v>290283.23</v>
      </c>
      <c r="I23" s="7"/>
      <c r="J23" s="5">
        <f t="shared" si="8"/>
        <v>290283.23</v>
      </c>
      <c r="K23" s="8"/>
      <c r="L23" s="6">
        <f t="shared" si="2"/>
        <v>290283.23</v>
      </c>
      <c r="M23" s="6" t="s">
        <v>253</v>
      </c>
      <c r="N23" s="8" t="s">
        <v>207</v>
      </c>
      <c r="O23" s="12" t="s">
        <v>244</v>
      </c>
      <c r="P23" s="12" t="s">
        <v>262</v>
      </c>
      <c r="Q23" s="8"/>
    </row>
    <row r="24" spans="1:17" x14ac:dyDescent="0.25">
      <c r="A24" s="2">
        <v>3101030006</v>
      </c>
      <c r="B24" s="2" t="s">
        <v>28</v>
      </c>
      <c r="C24" s="7"/>
      <c r="D24" s="7"/>
      <c r="E24" s="5">
        <f t="shared" si="6"/>
        <v>0</v>
      </c>
      <c r="F24" s="7">
        <v>4187.33</v>
      </c>
      <c r="G24" s="7">
        <v>0</v>
      </c>
      <c r="H24" s="5">
        <f t="shared" si="7"/>
        <v>4187.33</v>
      </c>
      <c r="I24" s="7"/>
      <c r="J24" s="5">
        <f t="shared" si="8"/>
        <v>4187.33</v>
      </c>
      <c r="K24" s="8"/>
      <c r="L24" s="6">
        <f t="shared" si="2"/>
        <v>4187.33</v>
      </c>
      <c r="M24" s="6" t="s">
        <v>253</v>
      </c>
      <c r="N24" s="8" t="s">
        <v>207</v>
      </c>
      <c r="O24" s="12" t="s">
        <v>244</v>
      </c>
      <c r="P24" s="12" t="s">
        <v>262</v>
      </c>
      <c r="Q24" s="8"/>
    </row>
    <row r="25" spans="1:17" ht="30" x14ac:dyDescent="0.25">
      <c r="A25" s="2">
        <v>3101050001</v>
      </c>
      <c r="B25" s="2" t="s">
        <v>29</v>
      </c>
      <c r="C25" s="7"/>
      <c r="D25" s="7"/>
      <c r="E25" s="5">
        <f t="shared" si="6"/>
        <v>0</v>
      </c>
      <c r="F25" s="7">
        <v>10000</v>
      </c>
      <c r="G25" s="7">
        <v>0</v>
      </c>
      <c r="H25" s="5">
        <f t="shared" si="7"/>
        <v>10000</v>
      </c>
      <c r="I25" s="7"/>
      <c r="J25" s="5">
        <f t="shared" si="8"/>
        <v>10000</v>
      </c>
      <c r="K25" s="8"/>
      <c r="L25" s="6">
        <f t="shared" si="2"/>
        <v>10000</v>
      </c>
      <c r="M25" s="6" t="s">
        <v>253</v>
      </c>
      <c r="N25" s="8" t="s">
        <v>207</v>
      </c>
      <c r="O25" s="12" t="s">
        <v>246</v>
      </c>
      <c r="P25" s="14" t="s">
        <v>262</v>
      </c>
      <c r="Q25" s="13"/>
    </row>
    <row r="26" spans="1:17" x14ac:dyDescent="0.25">
      <c r="A26" s="2">
        <v>3101050004</v>
      </c>
      <c r="B26" s="2" t="s">
        <v>30</v>
      </c>
      <c r="C26" s="7"/>
      <c r="D26" s="7"/>
      <c r="E26" s="5">
        <f t="shared" si="6"/>
        <v>0</v>
      </c>
      <c r="F26" s="7">
        <v>127550</v>
      </c>
      <c r="G26" s="7">
        <v>14400</v>
      </c>
      <c r="H26" s="5">
        <f t="shared" si="7"/>
        <v>113150</v>
      </c>
      <c r="I26" s="7"/>
      <c r="J26" s="5">
        <f t="shared" si="8"/>
        <v>113150</v>
      </c>
      <c r="K26" s="8"/>
      <c r="L26" s="6">
        <f t="shared" si="2"/>
        <v>113150</v>
      </c>
      <c r="M26" s="6" t="s">
        <v>253</v>
      </c>
      <c r="N26" s="8" t="s">
        <v>207</v>
      </c>
      <c r="O26" s="12" t="s">
        <v>244</v>
      </c>
      <c r="P26" s="14" t="s">
        <v>265</v>
      </c>
      <c r="Q26" s="13"/>
    </row>
    <row r="27" spans="1:17" x14ac:dyDescent="0.25">
      <c r="A27" s="2">
        <v>3101050005</v>
      </c>
      <c r="B27" s="2" t="s">
        <v>31</v>
      </c>
      <c r="C27" s="7"/>
      <c r="D27" s="7"/>
      <c r="E27" s="5">
        <f t="shared" si="6"/>
        <v>0</v>
      </c>
      <c r="F27" s="7">
        <v>492235.95</v>
      </c>
      <c r="G27" s="7">
        <v>0</v>
      </c>
      <c r="H27" s="5">
        <f t="shared" si="7"/>
        <v>492235.95</v>
      </c>
      <c r="I27" s="7"/>
      <c r="J27" s="5">
        <f t="shared" si="8"/>
        <v>492235.95</v>
      </c>
      <c r="K27" s="8"/>
      <c r="L27" s="6">
        <f t="shared" si="2"/>
        <v>492235.95</v>
      </c>
      <c r="M27" s="6" t="s">
        <v>253</v>
      </c>
      <c r="N27" s="8" t="s">
        <v>207</v>
      </c>
      <c r="O27" s="12" t="s">
        <v>247</v>
      </c>
      <c r="P27" s="14" t="s">
        <v>262</v>
      </c>
      <c r="Q27" s="13"/>
    </row>
    <row r="28" spans="1:17" x14ac:dyDescent="0.25">
      <c r="A28" s="2">
        <v>3101050006</v>
      </c>
      <c r="B28" s="2" t="s">
        <v>32</v>
      </c>
      <c r="C28" s="7"/>
      <c r="D28" s="7"/>
      <c r="E28" s="5">
        <f t="shared" si="6"/>
        <v>0</v>
      </c>
      <c r="F28" s="7">
        <v>821650</v>
      </c>
      <c r="G28" s="7">
        <v>0</v>
      </c>
      <c r="H28" s="5">
        <f t="shared" si="7"/>
        <v>821650</v>
      </c>
      <c r="I28" s="7"/>
      <c r="J28" s="5">
        <f t="shared" si="8"/>
        <v>821650</v>
      </c>
      <c r="K28" s="8"/>
      <c r="L28" s="6">
        <f t="shared" si="2"/>
        <v>821650</v>
      </c>
      <c r="M28" s="6" t="s">
        <v>253</v>
      </c>
      <c r="N28" s="8" t="s">
        <v>207</v>
      </c>
      <c r="O28" s="12" t="s">
        <v>246</v>
      </c>
      <c r="P28" s="14" t="s">
        <v>262</v>
      </c>
      <c r="Q28" s="13"/>
    </row>
    <row r="29" spans="1:17" x14ac:dyDescent="0.25">
      <c r="A29" s="2">
        <v>3101060001</v>
      </c>
      <c r="B29" s="2" t="s">
        <v>33</v>
      </c>
      <c r="C29" s="7"/>
      <c r="D29" s="7"/>
      <c r="E29" s="5">
        <f t="shared" si="6"/>
        <v>0</v>
      </c>
      <c r="F29" s="7">
        <v>75019.11</v>
      </c>
      <c r="G29" s="7">
        <v>1197.76</v>
      </c>
      <c r="H29" s="5">
        <f t="shared" si="7"/>
        <v>73821.350000000006</v>
      </c>
      <c r="I29" s="7"/>
      <c r="J29" s="5">
        <f t="shared" si="8"/>
        <v>73821.350000000006</v>
      </c>
      <c r="K29" s="8"/>
      <c r="L29" s="6">
        <f t="shared" si="2"/>
        <v>73821.350000000006</v>
      </c>
      <c r="M29" s="6" t="s">
        <v>253</v>
      </c>
      <c r="N29" s="8" t="s">
        <v>207</v>
      </c>
      <c r="O29" s="12" t="s">
        <v>244</v>
      </c>
      <c r="P29" s="14" t="s">
        <v>262</v>
      </c>
      <c r="Q29" s="13"/>
    </row>
    <row r="30" spans="1:17" x14ac:dyDescent="0.25">
      <c r="A30" s="2">
        <v>3101060002</v>
      </c>
      <c r="B30" s="2" t="s">
        <v>34</v>
      </c>
      <c r="C30" s="7"/>
      <c r="D30" s="7"/>
      <c r="E30" s="5">
        <f t="shared" si="6"/>
        <v>0</v>
      </c>
      <c r="F30" s="7">
        <v>4270.2299999999996</v>
      </c>
      <c r="G30" s="7">
        <v>0</v>
      </c>
      <c r="H30" s="5">
        <f t="shared" si="7"/>
        <v>4270.2299999999996</v>
      </c>
      <c r="I30" s="7"/>
      <c r="J30" s="5">
        <f t="shared" si="8"/>
        <v>4270.2299999999996</v>
      </c>
      <c r="K30" s="8"/>
      <c r="L30" s="6">
        <f t="shared" ref="L30:L93" si="9">J30+K30</f>
        <v>4270.2299999999996</v>
      </c>
      <c r="M30" s="6" t="s">
        <v>253</v>
      </c>
      <c r="N30" s="8" t="s">
        <v>207</v>
      </c>
      <c r="O30" s="12" t="s">
        <v>244</v>
      </c>
      <c r="P30" s="14" t="s">
        <v>262</v>
      </c>
      <c r="Q30" s="13"/>
    </row>
    <row r="31" spans="1:17" x14ac:dyDescent="0.25">
      <c r="A31" s="2">
        <v>3101060003</v>
      </c>
      <c r="B31" s="2" t="s">
        <v>35</v>
      </c>
      <c r="C31" s="7"/>
      <c r="D31" s="7"/>
      <c r="E31" s="5">
        <f t="shared" si="6"/>
        <v>0</v>
      </c>
      <c r="F31" s="7">
        <v>140533.97</v>
      </c>
      <c r="G31" s="7">
        <v>0</v>
      </c>
      <c r="H31" s="5">
        <f t="shared" si="7"/>
        <v>140533.97</v>
      </c>
      <c r="I31" s="7"/>
      <c r="J31" s="5">
        <f t="shared" si="8"/>
        <v>140533.97</v>
      </c>
      <c r="K31" s="8"/>
      <c r="L31" s="6">
        <f t="shared" si="9"/>
        <v>140533.97</v>
      </c>
      <c r="M31" s="6" t="s">
        <v>253</v>
      </c>
      <c r="N31" s="8" t="s">
        <v>207</v>
      </c>
      <c r="O31" s="12" t="s">
        <v>247</v>
      </c>
      <c r="P31" s="14" t="s">
        <v>262</v>
      </c>
      <c r="Q31" s="13"/>
    </row>
    <row r="32" spans="1:17" x14ac:dyDescent="0.25">
      <c r="A32" s="2">
        <v>3101060004</v>
      </c>
      <c r="B32" s="2" t="s">
        <v>36</v>
      </c>
      <c r="C32" s="7"/>
      <c r="D32" s="7"/>
      <c r="E32" s="5">
        <f t="shared" si="6"/>
        <v>0</v>
      </c>
      <c r="F32" s="7">
        <v>56592.17</v>
      </c>
      <c r="G32" s="7">
        <v>0</v>
      </c>
      <c r="H32" s="5">
        <f t="shared" si="7"/>
        <v>56592.17</v>
      </c>
      <c r="I32" s="7"/>
      <c r="J32" s="5">
        <f t="shared" si="8"/>
        <v>56592.17</v>
      </c>
      <c r="K32" s="8"/>
      <c r="L32" s="6">
        <f t="shared" si="9"/>
        <v>56592.17</v>
      </c>
      <c r="M32" s="6" t="s">
        <v>253</v>
      </c>
      <c r="N32" s="8" t="s">
        <v>207</v>
      </c>
      <c r="O32" s="12" t="s">
        <v>244</v>
      </c>
      <c r="P32" s="14" t="s">
        <v>262</v>
      </c>
      <c r="Q32" s="13"/>
    </row>
    <row r="33" spans="1:17" x14ac:dyDescent="0.25">
      <c r="A33" s="2">
        <v>3101060005</v>
      </c>
      <c r="B33" s="2" t="s">
        <v>37</v>
      </c>
      <c r="C33" s="7"/>
      <c r="D33" s="7"/>
      <c r="E33" s="5">
        <f t="shared" si="6"/>
        <v>0</v>
      </c>
      <c r="F33" s="7">
        <v>6021.52</v>
      </c>
      <c r="G33" s="7">
        <v>0</v>
      </c>
      <c r="H33" s="5">
        <f t="shared" si="7"/>
        <v>6021.52</v>
      </c>
      <c r="I33" s="7"/>
      <c r="J33" s="5">
        <f t="shared" si="8"/>
        <v>6021.52</v>
      </c>
      <c r="K33" s="8"/>
      <c r="L33" s="6">
        <f t="shared" si="9"/>
        <v>6021.52</v>
      </c>
      <c r="M33" s="6" t="s">
        <v>253</v>
      </c>
      <c r="N33" s="8" t="s">
        <v>207</v>
      </c>
      <c r="O33" s="12" t="s">
        <v>244</v>
      </c>
      <c r="P33" s="14" t="s">
        <v>262</v>
      </c>
      <c r="Q33" s="13"/>
    </row>
    <row r="34" spans="1:17" x14ac:dyDescent="0.25">
      <c r="A34" s="2">
        <v>3101060007</v>
      </c>
      <c r="B34" s="2" t="s">
        <v>38</v>
      </c>
      <c r="C34" s="7"/>
      <c r="D34" s="7"/>
      <c r="E34" s="5">
        <f t="shared" si="6"/>
        <v>0</v>
      </c>
      <c r="F34" s="7">
        <v>21535.52</v>
      </c>
      <c r="G34" s="7">
        <v>0</v>
      </c>
      <c r="H34" s="5">
        <f t="shared" si="7"/>
        <v>21535.52</v>
      </c>
      <c r="I34" s="7"/>
      <c r="J34" s="5">
        <f t="shared" si="8"/>
        <v>21535.52</v>
      </c>
      <c r="K34" s="8"/>
      <c r="L34" s="6">
        <f t="shared" si="9"/>
        <v>21535.52</v>
      </c>
      <c r="M34" s="6" t="s">
        <v>253</v>
      </c>
      <c r="N34" s="8" t="s">
        <v>207</v>
      </c>
      <c r="O34" s="12" t="s">
        <v>244</v>
      </c>
      <c r="P34" s="14" t="s">
        <v>262</v>
      </c>
      <c r="Q34" s="13"/>
    </row>
    <row r="35" spans="1:17" x14ac:dyDescent="0.25">
      <c r="A35" s="2">
        <v>3101060008</v>
      </c>
      <c r="B35" s="2" t="s">
        <v>39</v>
      </c>
      <c r="C35" s="7"/>
      <c r="D35" s="7"/>
      <c r="E35" s="5">
        <f t="shared" si="6"/>
        <v>0</v>
      </c>
      <c r="F35" s="7">
        <v>48577.74</v>
      </c>
      <c r="G35" s="7">
        <v>0</v>
      </c>
      <c r="H35" s="5">
        <f t="shared" si="7"/>
        <v>48577.74</v>
      </c>
      <c r="I35" s="7"/>
      <c r="J35" s="5">
        <f t="shared" si="8"/>
        <v>48577.74</v>
      </c>
      <c r="K35" s="8"/>
      <c r="L35" s="6">
        <f t="shared" si="9"/>
        <v>48577.74</v>
      </c>
      <c r="M35" s="6" t="s">
        <v>253</v>
      </c>
      <c r="N35" s="8" t="s">
        <v>207</v>
      </c>
      <c r="O35" s="12" t="s">
        <v>244</v>
      </c>
      <c r="P35" s="14" t="s">
        <v>262</v>
      </c>
      <c r="Q35" s="13"/>
    </row>
    <row r="36" spans="1:17" x14ac:dyDescent="0.25">
      <c r="A36" s="2">
        <v>3101060009</v>
      </c>
      <c r="B36" s="2" t="s">
        <v>40</v>
      </c>
      <c r="C36" s="7"/>
      <c r="D36" s="7"/>
      <c r="E36" s="5">
        <f t="shared" si="6"/>
        <v>0</v>
      </c>
      <c r="F36" s="7">
        <v>593696.97</v>
      </c>
      <c r="G36" s="7">
        <v>51424.54</v>
      </c>
      <c r="H36" s="5">
        <f t="shared" si="7"/>
        <v>542272.42999999993</v>
      </c>
      <c r="I36" s="7"/>
      <c r="J36" s="5">
        <f t="shared" si="8"/>
        <v>542272.42999999993</v>
      </c>
      <c r="K36" s="8"/>
      <c r="L36" s="6">
        <f t="shared" si="9"/>
        <v>542272.42999999993</v>
      </c>
      <c r="M36" s="6" t="s">
        <v>253</v>
      </c>
      <c r="N36" s="8" t="s">
        <v>207</v>
      </c>
      <c r="O36" s="12" t="s">
        <v>248</v>
      </c>
      <c r="P36" s="14" t="s">
        <v>262</v>
      </c>
      <c r="Q36" s="13"/>
    </row>
    <row r="37" spans="1:17" ht="30" x14ac:dyDescent="0.25">
      <c r="A37" s="2">
        <v>3101060010</v>
      </c>
      <c r="B37" s="2" t="s">
        <v>41</v>
      </c>
      <c r="C37" s="7"/>
      <c r="D37" s="7"/>
      <c r="E37" s="5">
        <f t="shared" si="6"/>
        <v>0</v>
      </c>
      <c r="F37" s="7">
        <v>3808.69</v>
      </c>
      <c r="G37" s="7">
        <v>0</v>
      </c>
      <c r="H37" s="5">
        <f t="shared" si="7"/>
        <v>3808.69</v>
      </c>
      <c r="I37" s="7"/>
      <c r="J37" s="5">
        <f t="shared" si="8"/>
        <v>3808.69</v>
      </c>
      <c r="K37" s="8"/>
      <c r="L37" s="6">
        <f t="shared" si="9"/>
        <v>3808.69</v>
      </c>
      <c r="M37" s="6" t="s">
        <v>253</v>
      </c>
      <c r="N37" s="8" t="s">
        <v>207</v>
      </c>
      <c r="O37" s="12" t="s">
        <v>244</v>
      </c>
      <c r="P37" s="14" t="s">
        <v>262</v>
      </c>
      <c r="Q37" s="13"/>
    </row>
    <row r="38" spans="1:17" ht="30" x14ac:dyDescent="0.25">
      <c r="A38" s="2">
        <v>3101060011</v>
      </c>
      <c r="B38" s="2" t="s">
        <v>42</v>
      </c>
      <c r="C38" s="7"/>
      <c r="D38" s="7"/>
      <c r="E38" s="5">
        <f t="shared" si="6"/>
        <v>0</v>
      </c>
      <c r="F38" s="7">
        <v>31324</v>
      </c>
      <c r="G38" s="7">
        <v>0</v>
      </c>
      <c r="H38" s="5">
        <f t="shared" si="7"/>
        <v>31324</v>
      </c>
      <c r="I38" s="7"/>
      <c r="J38" s="5">
        <f t="shared" si="8"/>
        <v>31324</v>
      </c>
      <c r="K38" s="8"/>
      <c r="L38" s="6">
        <f t="shared" si="9"/>
        <v>31324</v>
      </c>
      <c r="M38" s="6" t="s">
        <v>253</v>
      </c>
      <c r="N38" s="8" t="s">
        <v>207</v>
      </c>
      <c r="O38" s="12" t="s">
        <v>244</v>
      </c>
      <c r="P38" s="14" t="s">
        <v>262</v>
      </c>
      <c r="Q38" s="13"/>
    </row>
    <row r="39" spans="1:17" x14ac:dyDescent="0.25">
      <c r="A39" s="2">
        <v>3101060012</v>
      </c>
      <c r="B39" s="2" t="s">
        <v>43</v>
      </c>
      <c r="C39" s="7"/>
      <c r="D39" s="7"/>
      <c r="E39" s="5">
        <f t="shared" si="6"/>
        <v>0</v>
      </c>
      <c r="F39" s="7">
        <v>8265</v>
      </c>
      <c r="G39" s="7">
        <v>0</v>
      </c>
      <c r="H39" s="5">
        <f t="shared" si="7"/>
        <v>8265</v>
      </c>
      <c r="I39" s="7"/>
      <c r="J39" s="5">
        <f t="shared" si="8"/>
        <v>8265</v>
      </c>
      <c r="K39" s="8"/>
      <c r="L39" s="6">
        <f t="shared" si="9"/>
        <v>8265</v>
      </c>
      <c r="M39" s="6" t="s">
        <v>253</v>
      </c>
      <c r="N39" s="8" t="s">
        <v>207</v>
      </c>
      <c r="O39" s="12" t="s">
        <v>244</v>
      </c>
      <c r="P39" s="14" t="s">
        <v>262</v>
      </c>
      <c r="Q39" s="13"/>
    </row>
    <row r="40" spans="1:17" x14ac:dyDescent="0.25">
      <c r="A40" s="2">
        <v>3101060013</v>
      </c>
      <c r="B40" s="2" t="s">
        <v>44</v>
      </c>
      <c r="C40" s="7"/>
      <c r="D40" s="7"/>
      <c r="E40" s="5">
        <f t="shared" si="6"/>
        <v>0</v>
      </c>
      <c r="F40" s="7">
        <v>139.13</v>
      </c>
      <c r="G40" s="7">
        <v>0</v>
      </c>
      <c r="H40" s="5">
        <f t="shared" si="7"/>
        <v>139.13</v>
      </c>
      <c r="I40" s="7"/>
      <c r="J40" s="5">
        <f t="shared" si="8"/>
        <v>139.13</v>
      </c>
      <c r="K40" s="8"/>
      <c r="L40" s="6">
        <f t="shared" si="9"/>
        <v>139.13</v>
      </c>
      <c r="M40" s="6" t="s">
        <v>253</v>
      </c>
      <c r="N40" s="8" t="s">
        <v>207</v>
      </c>
      <c r="O40" s="12" t="s">
        <v>244</v>
      </c>
      <c r="P40" s="14" t="s">
        <v>262</v>
      </c>
      <c r="Q40" s="13"/>
    </row>
    <row r="41" spans="1:17" x14ac:dyDescent="0.25">
      <c r="A41" s="2">
        <v>3101060017</v>
      </c>
      <c r="B41" s="2" t="s">
        <v>45</v>
      </c>
      <c r="C41" s="7"/>
      <c r="D41" s="7"/>
      <c r="E41" s="5">
        <f t="shared" si="6"/>
        <v>0</v>
      </c>
      <c r="F41" s="7">
        <v>1763144</v>
      </c>
      <c r="G41" s="7">
        <v>0</v>
      </c>
      <c r="H41" s="5">
        <f t="shared" si="7"/>
        <v>1763144</v>
      </c>
      <c r="I41" s="7"/>
      <c r="J41" s="5">
        <f t="shared" si="8"/>
        <v>1763144</v>
      </c>
      <c r="K41" s="8"/>
      <c r="L41" s="6">
        <f t="shared" si="9"/>
        <v>1763144</v>
      </c>
      <c r="M41" s="6" t="s">
        <v>253</v>
      </c>
      <c r="N41" s="8" t="s">
        <v>207</v>
      </c>
      <c r="O41" s="12" t="s">
        <v>249</v>
      </c>
      <c r="P41" s="12" t="s">
        <v>267</v>
      </c>
      <c r="Q41" s="8"/>
    </row>
    <row r="42" spans="1:17" ht="30" x14ac:dyDescent="0.25">
      <c r="A42" s="2">
        <v>3101060018</v>
      </c>
      <c r="B42" s="2" t="s">
        <v>46</v>
      </c>
      <c r="C42" s="7"/>
      <c r="D42" s="7"/>
      <c r="E42" s="5">
        <f t="shared" si="6"/>
        <v>0</v>
      </c>
      <c r="F42" s="7">
        <v>59912</v>
      </c>
      <c r="G42" s="7">
        <v>0</v>
      </c>
      <c r="H42" s="5">
        <f t="shared" si="7"/>
        <v>59912</v>
      </c>
      <c r="I42" s="7"/>
      <c r="J42" s="5">
        <f t="shared" si="8"/>
        <v>59912</v>
      </c>
      <c r="K42" s="8"/>
      <c r="L42" s="6">
        <f t="shared" si="9"/>
        <v>59912</v>
      </c>
      <c r="M42" s="6" t="s">
        <v>253</v>
      </c>
      <c r="N42" s="8" t="s">
        <v>207</v>
      </c>
      <c r="O42" s="12" t="s">
        <v>246</v>
      </c>
      <c r="P42" s="14" t="s">
        <v>262</v>
      </c>
      <c r="Q42" s="13"/>
    </row>
    <row r="43" spans="1:17" x14ac:dyDescent="0.25">
      <c r="A43" s="2">
        <v>3101060019</v>
      </c>
      <c r="B43" s="2" t="s">
        <v>47</v>
      </c>
      <c r="C43" s="7"/>
      <c r="D43" s="7"/>
      <c r="E43" s="5">
        <f t="shared" si="6"/>
        <v>0</v>
      </c>
      <c r="F43" s="7">
        <v>0</v>
      </c>
      <c r="G43" s="7">
        <v>0.75</v>
      </c>
      <c r="H43" s="7"/>
      <c r="I43" s="7">
        <f>-E43+G43-F43</f>
        <v>0.75</v>
      </c>
      <c r="J43" s="5">
        <f t="shared" si="8"/>
        <v>-0.75</v>
      </c>
      <c r="K43" s="8"/>
      <c r="L43" s="6">
        <f t="shared" si="9"/>
        <v>-0.75</v>
      </c>
      <c r="M43" s="6" t="s">
        <v>253</v>
      </c>
      <c r="N43" s="8" t="s">
        <v>207</v>
      </c>
      <c r="O43" s="12" t="s">
        <v>244</v>
      </c>
      <c r="P43" s="12" t="s">
        <v>267</v>
      </c>
      <c r="Q43" s="8"/>
    </row>
    <row r="44" spans="1:17" ht="30" x14ac:dyDescent="0.25">
      <c r="A44" s="2">
        <v>3101060022</v>
      </c>
      <c r="B44" s="2" t="s">
        <v>48</v>
      </c>
      <c r="C44" s="7"/>
      <c r="D44" s="7"/>
      <c r="E44" s="5">
        <f t="shared" si="6"/>
        <v>0</v>
      </c>
      <c r="F44" s="7">
        <v>287.92</v>
      </c>
      <c r="G44" s="7">
        <v>0.01</v>
      </c>
      <c r="H44" s="5">
        <f t="shared" ref="H44:H103" si="10">E44+F44-G44</f>
        <v>287.91000000000003</v>
      </c>
      <c r="I44" s="7"/>
      <c r="J44" s="5">
        <f t="shared" si="8"/>
        <v>287.91000000000003</v>
      </c>
      <c r="K44" s="8"/>
      <c r="L44" s="6">
        <f t="shared" si="9"/>
        <v>287.91000000000003</v>
      </c>
      <c r="M44" s="6" t="s">
        <v>253</v>
      </c>
      <c r="N44" s="8" t="s">
        <v>207</v>
      </c>
      <c r="O44" s="12" t="s">
        <v>244</v>
      </c>
      <c r="P44" s="14" t="s">
        <v>262</v>
      </c>
      <c r="Q44" s="13"/>
    </row>
    <row r="45" spans="1:17" x14ac:dyDescent="0.25">
      <c r="A45" s="2">
        <v>3101060027</v>
      </c>
      <c r="B45" s="2" t="s">
        <v>49</v>
      </c>
      <c r="C45" s="7"/>
      <c r="D45" s="7"/>
      <c r="E45" s="5">
        <f t="shared" si="6"/>
        <v>0</v>
      </c>
      <c r="F45" s="7">
        <v>41398.68</v>
      </c>
      <c r="G45" s="7">
        <v>0</v>
      </c>
      <c r="H45" s="5">
        <f t="shared" si="10"/>
        <v>41398.68</v>
      </c>
      <c r="I45" s="7"/>
      <c r="J45" s="5">
        <f t="shared" si="8"/>
        <v>41398.68</v>
      </c>
      <c r="K45" s="8"/>
      <c r="L45" s="6">
        <f t="shared" si="9"/>
        <v>41398.68</v>
      </c>
      <c r="M45" s="6" t="s">
        <v>253</v>
      </c>
      <c r="N45" s="8" t="s">
        <v>207</v>
      </c>
      <c r="O45" s="12" t="s">
        <v>225</v>
      </c>
      <c r="P45" s="14" t="s">
        <v>268</v>
      </c>
      <c r="Q45" s="13"/>
    </row>
    <row r="46" spans="1:17" x14ac:dyDescent="0.25">
      <c r="A46" s="2">
        <v>3101060028</v>
      </c>
      <c r="B46" s="2" t="s">
        <v>50</v>
      </c>
      <c r="C46" s="7"/>
      <c r="D46" s="7"/>
      <c r="E46" s="5">
        <f t="shared" si="6"/>
        <v>0</v>
      </c>
      <c r="F46" s="7">
        <v>652.58000000000004</v>
      </c>
      <c r="G46" s="7">
        <v>0</v>
      </c>
      <c r="H46" s="5">
        <f t="shared" si="10"/>
        <v>652.58000000000004</v>
      </c>
      <c r="I46" s="7"/>
      <c r="J46" s="5">
        <f t="shared" si="8"/>
        <v>652.58000000000004</v>
      </c>
      <c r="K46" s="8"/>
      <c r="L46" s="6">
        <f t="shared" si="9"/>
        <v>652.58000000000004</v>
      </c>
      <c r="M46" s="6" t="s">
        <v>253</v>
      </c>
      <c r="N46" s="8" t="s">
        <v>207</v>
      </c>
      <c r="O46" s="12" t="s">
        <v>225</v>
      </c>
      <c r="P46" s="14" t="s">
        <v>268</v>
      </c>
      <c r="Q46" s="13"/>
    </row>
    <row r="47" spans="1:17" x14ac:dyDescent="0.25">
      <c r="A47" s="2">
        <v>3101060030</v>
      </c>
      <c r="B47" s="2" t="s">
        <v>51</v>
      </c>
      <c r="C47" s="7"/>
      <c r="D47" s="7"/>
      <c r="E47" s="5">
        <f t="shared" si="6"/>
        <v>0</v>
      </c>
      <c r="F47" s="7">
        <v>3283.25</v>
      </c>
      <c r="G47" s="7">
        <v>0</v>
      </c>
      <c r="H47" s="5">
        <f t="shared" si="10"/>
        <v>3283.25</v>
      </c>
      <c r="I47" s="7"/>
      <c r="J47" s="5">
        <f t="shared" si="8"/>
        <v>3283.25</v>
      </c>
      <c r="K47" s="8">
        <v>1524</v>
      </c>
      <c r="L47" s="6">
        <f t="shared" si="9"/>
        <v>4807.25</v>
      </c>
      <c r="M47" s="6" t="s">
        <v>253</v>
      </c>
      <c r="N47" s="8" t="s">
        <v>207</v>
      </c>
      <c r="O47" s="12" t="s">
        <v>225</v>
      </c>
      <c r="P47" s="14" t="s">
        <v>268</v>
      </c>
      <c r="Q47" s="13"/>
    </row>
    <row r="48" spans="1:17" ht="30" x14ac:dyDescent="0.25">
      <c r="A48" s="2">
        <v>3101070002</v>
      </c>
      <c r="B48" s="2" t="s">
        <v>52</v>
      </c>
      <c r="C48" s="7"/>
      <c r="D48" s="7"/>
      <c r="E48" s="5">
        <f t="shared" si="6"/>
        <v>0</v>
      </c>
      <c r="F48" s="7">
        <v>36155.800000000003</v>
      </c>
      <c r="G48" s="7">
        <v>0</v>
      </c>
      <c r="H48" s="5">
        <f t="shared" si="10"/>
        <v>36155.800000000003</v>
      </c>
      <c r="I48" s="7"/>
      <c r="J48" s="5">
        <f t="shared" si="8"/>
        <v>36155.800000000003</v>
      </c>
      <c r="K48" s="8"/>
      <c r="L48" s="6">
        <f t="shared" si="9"/>
        <v>36155.800000000003</v>
      </c>
      <c r="M48" s="6" t="s">
        <v>253</v>
      </c>
      <c r="N48" s="8" t="s">
        <v>207</v>
      </c>
      <c r="O48" s="12" t="s">
        <v>248</v>
      </c>
      <c r="P48" s="14" t="s">
        <v>262</v>
      </c>
      <c r="Q48" s="13"/>
    </row>
    <row r="49" spans="1:17" ht="30" x14ac:dyDescent="0.25">
      <c r="A49" s="2">
        <v>3101070003</v>
      </c>
      <c r="B49" s="2" t="s">
        <v>53</v>
      </c>
      <c r="C49" s="7"/>
      <c r="D49" s="7"/>
      <c r="E49" s="5">
        <f t="shared" si="6"/>
        <v>0</v>
      </c>
      <c r="F49" s="7">
        <v>22776.78</v>
      </c>
      <c r="G49" s="7">
        <v>0</v>
      </c>
      <c r="H49" s="5">
        <f t="shared" si="10"/>
        <v>22776.78</v>
      </c>
      <c r="I49" s="7"/>
      <c r="J49" s="5">
        <f t="shared" si="8"/>
        <v>22776.78</v>
      </c>
      <c r="K49" s="8"/>
      <c r="L49" s="6">
        <f t="shared" si="9"/>
        <v>22776.78</v>
      </c>
      <c r="M49" s="6" t="s">
        <v>253</v>
      </c>
      <c r="N49" s="8" t="s">
        <v>207</v>
      </c>
      <c r="O49" s="12" t="s">
        <v>248</v>
      </c>
      <c r="P49" s="14" t="s">
        <v>262</v>
      </c>
      <c r="Q49" s="13"/>
    </row>
    <row r="50" spans="1:17" ht="30" x14ac:dyDescent="0.25">
      <c r="A50" s="2">
        <v>3101070004</v>
      </c>
      <c r="B50" s="2" t="s">
        <v>54</v>
      </c>
      <c r="C50" s="7"/>
      <c r="D50" s="7"/>
      <c r="E50" s="5">
        <f t="shared" si="6"/>
        <v>0</v>
      </c>
      <c r="F50" s="7">
        <v>24931.94</v>
      </c>
      <c r="G50" s="7">
        <v>0</v>
      </c>
      <c r="H50" s="5">
        <f t="shared" si="10"/>
        <v>24931.94</v>
      </c>
      <c r="I50" s="7"/>
      <c r="J50" s="5">
        <f t="shared" si="8"/>
        <v>24931.94</v>
      </c>
      <c r="K50" s="8"/>
      <c r="L50" s="6">
        <f t="shared" si="9"/>
        <v>24931.94</v>
      </c>
      <c r="M50" s="6" t="s">
        <v>253</v>
      </c>
      <c r="N50" s="8" t="s">
        <v>207</v>
      </c>
      <c r="O50" s="12" t="s">
        <v>248</v>
      </c>
      <c r="P50" s="14" t="s">
        <v>262</v>
      </c>
      <c r="Q50" s="13"/>
    </row>
    <row r="51" spans="1:17" ht="30" x14ac:dyDescent="0.25">
      <c r="A51" s="2">
        <v>3101070007</v>
      </c>
      <c r="B51" s="2" t="s">
        <v>55</v>
      </c>
      <c r="C51" s="7"/>
      <c r="D51" s="7"/>
      <c r="E51" s="5">
        <f t="shared" si="6"/>
        <v>0</v>
      </c>
      <c r="F51" s="7">
        <v>544632.01</v>
      </c>
      <c r="G51" s="7">
        <v>0</v>
      </c>
      <c r="H51" s="5">
        <f t="shared" si="10"/>
        <v>544632.01</v>
      </c>
      <c r="I51" s="7"/>
      <c r="J51" s="5">
        <f t="shared" si="8"/>
        <v>544632.01</v>
      </c>
      <c r="K51" s="8"/>
      <c r="L51" s="6">
        <f t="shared" si="9"/>
        <v>544632.01</v>
      </c>
      <c r="M51" s="6" t="s">
        <v>253</v>
      </c>
      <c r="N51" s="8" t="s">
        <v>207</v>
      </c>
      <c r="O51" s="12" t="s">
        <v>248</v>
      </c>
      <c r="P51" s="14" t="s">
        <v>262</v>
      </c>
      <c r="Q51" s="13"/>
    </row>
    <row r="52" spans="1:17" ht="30" x14ac:dyDescent="0.25">
      <c r="A52" s="2">
        <v>3101070008</v>
      </c>
      <c r="B52" s="2" t="s">
        <v>56</v>
      </c>
      <c r="C52" s="7"/>
      <c r="D52" s="7"/>
      <c r="E52" s="5">
        <f t="shared" si="6"/>
        <v>0</v>
      </c>
      <c r="F52" s="7">
        <v>330774.67</v>
      </c>
      <c r="G52" s="7">
        <v>0</v>
      </c>
      <c r="H52" s="5">
        <f t="shared" si="10"/>
        <v>330774.67</v>
      </c>
      <c r="I52" s="7"/>
      <c r="J52" s="5">
        <f t="shared" si="8"/>
        <v>330774.67</v>
      </c>
      <c r="K52" s="8"/>
      <c r="L52" s="6">
        <f t="shared" si="9"/>
        <v>330774.67</v>
      </c>
      <c r="M52" s="6" t="s">
        <v>253</v>
      </c>
      <c r="N52" s="8" t="s">
        <v>207</v>
      </c>
      <c r="O52" s="12" t="s">
        <v>248</v>
      </c>
      <c r="P52" s="14" t="s">
        <v>262</v>
      </c>
      <c r="Q52" s="13"/>
    </row>
    <row r="53" spans="1:17" x14ac:dyDescent="0.25">
      <c r="A53" s="2">
        <v>3101070009</v>
      </c>
      <c r="B53" s="2" t="s">
        <v>57</v>
      </c>
      <c r="C53" s="7"/>
      <c r="D53" s="7"/>
      <c r="E53" s="5">
        <f t="shared" si="6"/>
        <v>0</v>
      </c>
      <c r="F53" s="7">
        <v>15209.47</v>
      </c>
      <c r="G53" s="7">
        <v>0</v>
      </c>
      <c r="H53" s="5">
        <f t="shared" si="10"/>
        <v>15209.47</v>
      </c>
      <c r="I53" s="7"/>
      <c r="J53" s="5">
        <f t="shared" si="8"/>
        <v>15209.47</v>
      </c>
      <c r="K53" s="8"/>
      <c r="L53" s="6">
        <f t="shared" si="9"/>
        <v>15209.47</v>
      </c>
      <c r="M53" s="6" t="s">
        <v>253</v>
      </c>
      <c r="N53" s="8" t="s">
        <v>207</v>
      </c>
      <c r="O53" s="12" t="s">
        <v>248</v>
      </c>
      <c r="P53" s="14" t="s">
        <v>262</v>
      </c>
      <c r="Q53" s="13"/>
    </row>
    <row r="54" spans="1:17" x14ac:dyDescent="0.25">
      <c r="A54" s="2">
        <v>3101070013</v>
      </c>
      <c r="B54" s="2" t="s">
        <v>58</v>
      </c>
      <c r="C54" s="7"/>
      <c r="D54" s="7"/>
      <c r="E54" s="5">
        <f t="shared" si="6"/>
        <v>0</v>
      </c>
      <c r="F54" s="7">
        <v>23941.85</v>
      </c>
      <c r="G54" s="7">
        <v>0</v>
      </c>
      <c r="H54" s="5">
        <f t="shared" si="10"/>
        <v>23941.85</v>
      </c>
      <c r="I54" s="7"/>
      <c r="J54" s="5">
        <f t="shared" si="8"/>
        <v>23941.85</v>
      </c>
      <c r="K54" s="8"/>
      <c r="L54" s="6">
        <f t="shared" si="9"/>
        <v>23941.85</v>
      </c>
      <c r="M54" s="6" t="s">
        <v>253</v>
      </c>
      <c r="N54" s="8" t="s">
        <v>207</v>
      </c>
      <c r="O54" s="12" t="s">
        <v>248</v>
      </c>
      <c r="P54" s="14" t="s">
        <v>262</v>
      </c>
      <c r="Q54" s="13"/>
    </row>
    <row r="55" spans="1:17" ht="30" x14ac:dyDescent="0.25">
      <c r="A55" s="2">
        <v>3101070014</v>
      </c>
      <c r="B55" s="2" t="s">
        <v>59</v>
      </c>
      <c r="C55" s="7"/>
      <c r="D55" s="7"/>
      <c r="E55" s="5">
        <f t="shared" si="6"/>
        <v>0</v>
      </c>
      <c r="F55" s="7">
        <v>681952.8</v>
      </c>
      <c r="G55" s="7">
        <v>0</v>
      </c>
      <c r="H55" s="5">
        <f t="shared" si="10"/>
        <v>681952.8</v>
      </c>
      <c r="I55" s="7"/>
      <c r="J55" s="5">
        <f t="shared" si="8"/>
        <v>681952.8</v>
      </c>
      <c r="K55" s="8"/>
      <c r="L55" s="6">
        <f t="shared" si="9"/>
        <v>681952.8</v>
      </c>
      <c r="M55" s="6" t="s">
        <v>253</v>
      </c>
      <c r="N55" s="8" t="s">
        <v>207</v>
      </c>
      <c r="O55" s="12" t="s">
        <v>248</v>
      </c>
      <c r="P55" s="14" t="s">
        <v>262</v>
      </c>
      <c r="Q55" s="13"/>
    </row>
    <row r="56" spans="1:17" ht="45" x14ac:dyDescent="0.25">
      <c r="A56" s="2">
        <v>3101070016</v>
      </c>
      <c r="B56" s="2" t="s">
        <v>60</v>
      </c>
      <c r="C56" s="7"/>
      <c r="D56" s="7"/>
      <c r="E56" s="5">
        <f t="shared" si="6"/>
        <v>0</v>
      </c>
      <c r="F56" s="7">
        <v>208795.92</v>
      </c>
      <c r="G56" s="7">
        <v>16382.91</v>
      </c>
      <c r="H56" s="5">
        <f t="shared" si="10"/>
        <v>192413.01</v>
      </c>
      <c r="I56" s="7"/>
      <c r="J56" s="5">
        <f t="shared" si="8"/>
        <v>192413.01</v>
      </c>
      <c r="K56" s="8"/>
      <c r="L56" s="6">
        <f t="shared" si="9"/>
        <v>192413.01</v>
      </c>
      <c r="M56" s="6" t="s">
        <v>253</v>
      </c>
      <c r="N56" s="8" t="s">
        <v>211</v>
      </c>
      <c r="O56" s="12" t="s">
        <v>212</v>
      </c>
      <c r="P56" s="14" t="s">
        <v>262</v>
      </c>
      <c r="Q56" s="13"/>
    </row>
    <row r="57" spans="1:17" ht="60" x14ac:dyDescent="0.25">
      <c r="A57" s="2">
        <v>3101070017</v>
      </c>
      <c r="B57" s="2" t="s">
        <v>61</v>
      </c>
      <c r="C57" s="7"/>
      <c r="D57" s="7"/>
      <c r="E57" s="5">
        <f t="shared" si="6"/>
        <v>0</v>
      </c>
      <c r="F57" s="7">
        <v>2515681.6</v>
      </c>
      <c r="G57" s="7">
        <v>0</v>
      </c>
      <c r="H57" s="5">
        <f t="shared" si="10"/>
        <v>2515681.6</v>
      </c>
      <c r="I57" s="7"/>
      <c r="J57" s="5">
        <f t="shared" si="8"/>
        <v>2515681.6</v>
      </c>
      <c r="K57" s="8"/>
      <c r="L57" s="6">
        <f t="shared" si="9"/>
        <v>2515681.6</v>
      </c>
      <c r="M57" s="6" t="s">
        <v>253</v>
      </c>
      <c r="N57" s="8" t="s">
        <v>211</v>
      </c>
      <c r="O57" s="12" t="s">
        <v>212</v>
      </c>
      <c r="P57" s="14" t="s">
        <v>262</v>
      </c>
      <c r="Q57" s="13"/>
    </row>
    <row r="58" spans="1:17" ht="30" x14ac:dyDescent="0.25">
      <c r="A58" s="2">
        <v>3101070018</v>
      </c>
      <c r="B58" s="2" t="s">
        <v>62</v>
      </c>
      <c r="C58" s="7"/>
      <c r="D58" s="7"/>
      <c r="E58" s="5">
        <f t="shared" si="6"/>
        <v>0</v>
      </c>
      <c r="F58" s="7">
        <v>2407910.46</v>
      </c>
      <c r="G58" s="7">
        <v>0</v>
      </c>
      <c r="H58" s="5">
        <f t="shared" si="10"/>
        <v>2407910.46</v>
      </c>
      <c r="I58" s="7"/>
      <c r="J58" s="5">
        <f t="shared" si="8"/>
        <v>2407910.46</v>
      </c>
      <c r="K58" s="8">
        <v>-167005</v>
      </c>
      <c r="L58" s="6">
        <f t="shared" si="9"/>
        <v>2240905.46</v>
      </c>
      <c r="M58" s="6" t="s">
        <v>253</v>
      </c>
      <c r="N58" s="8" t="s">
        <v>211</v>
      </c>
      <c r="O58" s="12" t="s">
        <v>212</v>
      </c>
      <c r="P58" s="14" t="s">
        <v>262</v>
      </c>
      <c r="Q58" s="13"/>
    </row>
    <row r="59" spans="1:17" ht="30" x14ac:dyDescent="0.25">
      <c r="A59" s="2">
        <v>3101070020</v>
      </c>
      <c r="B59" s="2" t="s">
        <v>63</v>
      </c>
      <c r="C59" s="7"/>
      <c r="D59" s="7"/>
      <c r="E59" s="5">
        <f t="shared" si="6"/>
        <v>0</v>
      </c>
      <c r="F59" s="7">
        <v>239659.59</v>
      </c>
      <c r="G59" s="7">
        <v>0</v>
      </c>
      <c r="H59" s="5">
        <f t="shared" si="10"/>
        <v>239659.59</v>
      </c>
      <c r="I59" s="7"/>
      <c r="J59" s="5">
        <f t="shared" si="8"/>
        <v>239659.59</v>
      </c>
      <c r="K59" s="8"/>
      <c r="L59" s="6">
        <f t="shared" si="9"/>
        <v>239659.59</v>
      </c>
      <c r="M59" s="6" t="s">
        <v>253</v>
      </c>
      <c r="N59" s="8" t="s">
        <v>211</v>
      </c>
      <c r="O59" s="12" t="s">
        <v>212</v>
      </c>
      <c r="P59" s="14" t="s">
        <v>262</v>
      </c>
      <c r="Q59" s="13"/>
    </row>
    <row r="60" spans="1:17" ht="45" x14ac:dyDescent="0.25">
      <c r="A60" s="2">
        <v>3101070021</v>
      </c>
      <c r="B60" s="2" t="s">
        <v>64</v>
      </c>
      <c r="C60" s="7"/>
      <c r="D60" s="7"/>
      <c r="E60" s="5">
        <f t="shared" si="6"/>
        <v>0</v>
      </c>
      <c r="F60" s="7">
        <v>578296.32999999996</v>
      </c>
      <c r="G60" s="7">
        <v>64757.16</v>
      </c>
      <c r="H60" s="5">
        <f t="shared" si="10"/>
        <v>513539.16999999993</v>
      </c>
      <c r="I60" s="7"/>
      <c r="J60" s="5">
        <f t="shared" si="8"/>
        <v>513539.16999999993</v>
      </c>
      <c r="K60" s="8"/>
      <c r="L60" s="6">
        <f t="shared" si="9"/>
        <v>513539.16999999993</v>
      </c>
      <c r="M60" s="6" t="s">
        <v>253</v>
      </c>
      <c r="N60" s="8" t="s">
        <v>211</v>
      </c>
      <c r="O60" s="12" t="s">
        <v>212</v>
      </c>
      <c r="P60" s="14" t="s">
        <v>262</v>
      </c>
      <c r="Q60" s="13"/>
    </row>
    <row r="61" spans="1:17" ht="30" x14ac:dyDescent="0.25">
      <c r="A61" s="2">
        <v>3101070024</v>
      </c>
      <c r="B61" s="2" t="s">
        <v>65</v>
      </c>
      <c r="C61" s="7"/>
      <c r="D61" s="7"/>
      <c r="E61" s="5">
        <f t="shared" si="6"/>
        <v>0</v>
      </c>
      <c r="F61" s="7">
        <v>316000</v>
      </c>
      <c r="G61" s="7">
        <v>0</v>
      </c>
      <c r="H61" s="5">
        <f t="shared" si="10"/>
        <v>316000</v>
      </c>
      <c r="I61" s="7"/>
      <c r="J61" s="5">
        <f t="shared" si="8"/>
        <v>316000</v>
      </c>
      <c r="K61" s="8"/>
      <c r="L61" s="6">
        <f t="shared" si="9"/>
        <v>316000</v>
      </c>
      <c r="M61" s="6" t="s">
        <v>253</v>
      </c>
      <c r="N61" s="8" t="s">
        <v>207</v>
      </c>
      <c r="O61" s="12" t="s">
        <v>248</v>
      </c>
      <c r="P61" s="14" t="s">
        <v>262</v>
      </c>
      <c r="Q61" s="13"/>
    </row>
    <row r="62" spans="1:17" ht="30" x14ac:dyDescent="0.25">
      <c r="A62" s="2">
        <v>3101070025</v>
      </c>
      <c r="B62" s="2" t="s">
        <v>66</v>
      </c>
      <c r="C62" s="7"/>
      <c r="D62" s="7"/>
      <c r="E62" s="5">
        <f t="shared" si="6"/>
        <v>0</v>
      </c>
      <c r="F62" s="7">
        <v>847795.46</v>
      </c>
      <c r="G62" s="7">
        <v>0</v>
      </c>
      <c r="H62" s="5">
        <f t="shared" si="10"/>
        <v>847795.46</v>
      </c>
      <c r="I62" s="7"/>
      <c r="J62" s="5">
        <f t="shared" si="8"/>
        <v>847795.46</v>
      </c>
      <c r="K62" s="8"/>
      <c r="L62" s="6">
        <f t="shared" si="9"/>
        <v>847795.46</v>
      </c>
      <c r="M62" s="6" t="s">
        <v>253</v>
      </c>
      <c r="N62" s="8" t="s">
        <v>207</v>
      </c>
      <c r="O62" s="12" t="s">
        <v>248</v>
      </c>
      <c r="P62" s="14" t="s">
        <v>262</v>
      </c>
      <c r="Q62" s="13"/>
    </row>
    <row r="63" spans="1:17" ht="30" x14ac:dyDescent="0.25">
      <c r="A63" s="2">
        <v>3101070027</v>
      </c>
      <c r="B63" s="2" t="s">
        <v>67</v>
      </c>
      <c r="C63" s="7"/>
      <c r="D63" s="7"/>
      <c r="E63" s="5">
        <f t="shared" si="6"/>
        <v>0</v>
      </c>
      <c r="F63" s="7">
        <v>589285.87</v>
      </c>
      <c r="G63" s="7">
        <v>0</v>
      </c>
      <c r="H63" s="5">
        <f t="shared" si="10"/>
        <v>589285.87</v>
      </c>
      <c r="I63" s="7"/>
      <c r="J63" s="5">
        <f t="shared" si="8"/>
        <v>589285.87</v>
      </c>
      <c r="K63" s="8"/>
      <c r="L63" s="6">
        <f t="shared" si="9"/>
        <v>589285.87</v>
      </c>
      <c r="M63" s="6" t="s">
        <v>253</v>
      </c>
      <c r="N63" s="8" t="s">
        <v>207</v>
      </c>
      <c r="O63" s="12" t="s">
        <v>248</v>
      </c>
      <c r="P63" s="14" t="s">
        <v>262</v>
      </c>
      <c r="Q63" s="13"/>
    </row>
    <row r="64" spans="1:17" ht="30" x14ac:dyDescent="0.25">
      <c r="A64" s="2">
        <v>3101070028</v>
      </c>
      <c r="B64" s="2" t="s">
        <v>68</v>
      </c>
      <c r="C64" s="7"/>
      <c r="D64" s="7"/>
      <c r="E64" s="5">
        <f t="shared" si="6"/>
        <v>0</v>
      </c>
      <c r="F64" s="7">
        <v>219444.46</v>
      </c>
      <c r="G64" s="7">
        <v>0</v>
      </c>
      <c r="H64" s="5">
        <f t="shared" si="10"/>
        <v>219444.46</v>
      </c>
      <c r="I64" s="7"/>
      <c r="J64" s="5">
        <f t="shared" si="8"/>
        <v>219444.46</v>
      </c>
      <c r="K64" s="8"/>
      <c r="L64" s="6">
        <f t="shared" si="9"/>
        <v>219444.46</v>
      </c>
      <c r="M64" s="6" t="s">
        <v>253</v>
      </c>
      <c r="N64" s="8" t="s">
        <v>207</v>
      </c>
      <c r="O64" s="12" t="s">
        <v>248</v>
      </c>
      <c r="P64" s="14" t="s">
        <v>262</v>
      </c>
      <c r="Q64" s="13"/>
    </row>
    <row r="65" spans="1:17" ht="45" x14ac:dyDescent="0.25">
      <c r="A65" s="2">
        <v>3101070031</v>
      </c>
      <c r="B65" s="2" t="s">
        <v>69</v>
      </c>
      <c r="C65" s="7"/>
      <c r="D65" s="7"/>
      <c r="E65" s="5">
        <f t="shared" si="6"/>
        <v>0</v>
      </c>
      <c r="F65" s="7">
        <v>761746.92</v>
      </c>
      <c r="G65" s="7">
        <v>458373.41</v>
      </c>
      <c r="H65" s="5">
        <f t="shared" si="10"/>
        <v>303373.51000000007</v>
      </c>
      <c r="I65" s="7"/>
      <c r="J65" s="5">
        <f t="shared" si="8"/>
        <v>303373.51000000007</v>
      </c>
      <c r="K65" s="8"/>
      <c r="L65" s="6">
        <f t="shared" si="9"/>
        <v>303373.51000000007</v>
      </c>
      <c r="M65" s="6" t="s">
        <v>253</v>
      </c>
      <c r="N65" s="8" t="s">
        <v>211</v>
      </c>
      <c r="O65" s="12" t="s">
        <v>212</v>
      </c>
      <c r="P65" s="12" t="s">
        <v>262</v>
      </c>
      <c r="Q65" s="8"/>
    </row>
    <row r="66" spans="1:17" x14ac:dyDescent="0.25">
      <c r="A66" s="2">
        <v>3101070032</v>
      </c>
      <c r="B66" s="2" t="s">
        <v>70</v>
      </c>
      <c r="C66" s="7"/>
      <c r="D66" s="7"/>
      <c r="E66" s="5">
        <f t="shared" si="6"/>
        <v>0</v>
      </c>
      <c r="F66" s="7">
        <v>1938167</v>
      </c>
      <c r="G66" s="7">
        <v>12642</v>
      </c>
      <c r="H66" s="5">
        <f t="shared" si="10"/>
        <v>1925525</v>
      </c>
      <c r="I66" s="7"/>
      <c r="J66" s="5">
        <f t="shared" si="8"/>
        <v>1925525</v>
      </c>
      <c r="K66" s="8"/>
      <c r="L66" s="6">
        <f t="shared" si="9"/>
        <v>1925525</v>
      </c>
      <c r="M66" s="6" t="s">
        <v>253</v>
      </c>
      <c r="N66" s="8" t="s">
        <v>211</v>
      </c>
      <c r="O66" s="12" t="s">
        <v>213</v>
      </c>
      <c r="P66" s="12" t="s">
        <v>262</v>
      </c>
      <c r="Q66" s="8"/>
    </row>
    <row r="67" spans="1:17" ht="30" x14ac:dyDescent="0.25">
      <c r="A67" s="2">
        <v>3101070033</v>
      </c>
      <c r="B67" s="2" t="s">
        <v>71</v>
      </c>
      <c r="C67" s="7"/>
      <c r="D67" s="7"/>
      <c r="E67" s="5">
        <f t="shared" si="6"/>
        <v>0</v>
      </c>
      <c r="F67" s="7">
        <v>112449.19</v>
      </c>
      <c r="G67" s="7">
        <v>0</v>
      </c>
      <c r="H67" s="5">
        <f t="shared" si="10"/>
        <v>112449.19</v>
      </c>
      <c r="I67" s="7"/>
      <c r="J67" s="5">
        <f t="shared" si="8"/>
        <v>112449.19</v>
      </c>
      <c r="K67" s="8"/>
      <c r="L67" s="6">
        <f t="shared" si="9"/>
        <v>112449.19</v>
      </c>
      <c r="M67" s="6" t="s">
        <v>253</v>
      </c>
      <c r="N67" s="8" t="s">
        <v>211</v>
      </c>
      <c r="O67" s="12" t="s">
        <v>212</v>
      </c>
      <c r="P67" s="12" t="s">
        <v>262</v>
      </c>
      <c r="Q67" s="8"/>
    </row>
    <row r="68" spans="1:17" ht="45" x14ac:dyDescent="0.25">
      <c r="A68" s="2">
        <v>3101070034</v>
      </c>
      <c r="B68" s="2" t="s">
        <v>72</v>
      </c>
      <c r="C68" s="7"/>
      <c r="D68" s="7"/>
      <c r="E68" s="5">
        <f t="shared" si="6"/>
        <v>0</v>
      </c>
      <c r="F68" s="7">
        <v>370593.47</v>
      </c>
      <c r="G68" s="7">
        <v>0</v>
      </c>
      <c r="H68" s="5">
        <f t="shared" si="10"/>
        <v>370593.47</v>
      </c>
      <c r="I68" s="7"/>
      <c r="J68" s="5">
        <f t="shared" si="8"/>
        <v>370593.47</v>
      </c>
      <c r="K68" s="8"/>
      <c r="L68" s="6">
        <f t="shared" si="9"/>
        <v>370593.47</v>
      </c>
      <c r="M68" s="6" t="s">
        <v>253</v>
      </c>
      <c r="N68" s="8" t="s">
        <v>211</v>
      </c>
      <c r="O68" s="12" t="s">
        <v>212</v>
      </c>
      <c r="P68" s="12" t="s">
        <v>262</v>
      </c>
      <c r="Q68" s="8"/>
    </row>
    <row r="69" spans="1:17" ht="45" x14ac:dyDescent="0.25">
      <c r="A69" s="2">
        <v>3101070035</v>
      </c>
      <c r="B69" s="2" t="s">
        <v>73</v>
      </c>
      <c r="C69" s="7"/>
      <c r="D69" s="7"/>
      <c r="E69" s="5">
        <f t="shared" si="6"/>
        <v>0</v>
      </c>
      <c r="F69" s="7">
        <v>446553.75</v>
      </c>
      <c r="G69" s="7">
        <v>0</v>
      </c>
      <c r="H69" s="5">
        <f t="shared" si="10"/>
        <v>446553.75</v>
      </c>
      <c r="I69" s="7"/>
      <c r="J69" s="5">
        <f t="shared" si="8"/>
        <v>446553.75</v>
      </c>
      <c r="K69" s="8"/>
      <c r="L69" s="6">
        <f t="shared" si="9"/>
        <v>446553.75</v>
      </c>
      <c r="M69" s="6" t="s">
        <v>253</v>
      </c>
      <c r="N69" s="8" t="s">
        <v>211</v>
      </c>
      <c r="O69" s="12" t="s">
        <v>212</v>
      </c>
      <c r="P69" s="12" t="s">
        <v>262</v>
      </c>
      <c r="Q69" s="8"/>
    </row>
    <row r="70" spans="1:17" ht="45" x14ac:dyDescent="0.25">
      <c r="A70" s="2">
        <v>3101070036</v>
      </c>
      <c r="B70" s="2" t="s">
        <v>74</v>
      </c>
      <c r="C70" s="7"/>
      <c r="D70" s="7"/>
      <c r="E70" s="5">
        <f t="shared" si="6"/>
        <v>0</v>
      </c>
      <c r="F70" s="7">
        <v>896801.77</v>
      </c>
      <c r="G70" s="7">
        <v>74198.38</v>
      </c>
      <c r="H70" s="5">
        <f t="shared" si="10"/>
        <v>822603.39</v>
      </c>
      <c r="I70" s="7"/>
      <c r="J70" s="5">
        <f t="shared" si="8"/>
        <v>822603.39</v>
      </c>
      <c r="K70" s="8"/>
      <c r="L70" s="6">
        <f t="shared" si="9"/>
        <v>822603.39</v>
      </c>
      <c r="M70" s="6" t="s">
        <v>253</v>
      </c>
      <c r="N70" s="8" t="s">
        <v>211</v>
      </c>
      <c r="O70" s="12" t="s">
        <v>212</v>
      </c>
      <c r="P70" s="12" t="s">
        <v>262</v>
      </c>
      <c r="Q70" s="8"/>
    </row>
    <row r="71" spans="1:17" ht="30" x14ac:dyDescent="0.25">
      <c r="A71" s="2">
        <v>3101070037</v>
      </c>
      <c r="B71" s="2" t="s">
        <v>75</v>
      </c>
      <c r="C71" s="7"/>
      <c r="D71" s="7"/>
      <c r="E71" s="5">
        <f t="shared" si="6"/>
        <v>0</v>
      </c>
      <c r="F71" s="7">
        <v>14457.43</v>
      </c>
      <c r="G71" s="7">
        <v>0</v>
      </c>
      <c r="H71" s="5">
        <f t="shared" si="10"/>
        <v>14457.43</v>
      </c>
      <c r="I71" s="7"/>
      <c r="J71" s="5">
        <f t="shared" si="8"/>
        <v>14457.43</v>
      </c>
      <c r="K71" s="8"/>
      <c r="L71" s="6">
        <f t="shared" si="9"/>
        <v>14457.43</v>
      </c>
      <c r="M71" s="6" t="s">
        <v>253</v>
      </c>
      <c r="N71" s="8" t="s">
        <v>207</v>
      </c>
      <c r="O71" s="12" t="s">
        <v>248</v>
      </c>
      <c r="P71" s="12" t="s">
        <v>262</v>
      </c>
      <c r="Q71" s="8"/>
    </row>
    <row r="72" spans="1:17" ht="30" x14ac:dyDescent="0.25">
      <c r="A72" s="2">
        <v>3101070038</v>
      </c>
      <c r="B72" s="2" t="s">
        <v>76</v>
      </c>
      <c r="C72" s="7"/>
      <c r="D72" s="7"/>
      <c r="E72" s="5">
        <f t="shared" si="6"/>
        <v>0</v>
      </c>
      <c r="F72" s="7">
        <v>39765.89</v>
      </c>
      <c r="G72" s="7">
        <v>28412.65</v>
      </c>
      <c r="H72" s="5">
        <f t="shared" si="10"/>
        <v>11353.239999999998</v>
      </c>
      <c r="I72" s="7"/>
      <c r="J72" s="5">
        <f t="shared" si="8"/>
        <v>11353.239999999998</v>
      </c>
      <c r="K72" s="8"/>
      <c r="L72" s="6">
        <f t="shared" si="9"/>
        <v>11353.239999999998</v>
      </c>
      <c r="M72" s="6" t="s">
        <v>253</v>
      </c>
      <c r="N72" s="8" t="s">
        <v>207</v>
      </c>
      <c r="O72" s="12" t="s">
        <v>248</v>
      </c>
      <c r="P72" s="12" t="s">
        <v>262</v>
      </c>
      <c r="Q72" s="8"/>
    </row>
    <row r="73" spans="1:17" ht="30" x14ac:dyDescent="0.25">
      <c r="A73" s="2">
        <v>3101070040</v>
      </c>
      <c r="B73" s="2" t="s">
        <v>77</v>
      </c>
      <c r="C73" s="7"/>
      <c r="D73" s="7"/>
      <c r="E73" s="5">
        <f t="shared" si="6"/>
        <v>0</v>
      </c>
      <c r="F73" s="7">
        <v>1197692.81</v>
      </c>
      <c r="G73" s="7">
        <v>154998.1</v>
      </c>
      <c r="H73" s="5">
        <f t="shared" si="10"/>
        <v>1042694.7100000001</v>
      </c>
      <c r="I73" s="7"/>
      <c r="J73" s="5">
        <f t="shared" si="8"/>
        <v>1042694.7100000001</v>
      </c>
      <c r="K73" s="8"/>
      <c r="L73" s="6">
        <f t="shared" si="9"/>
        <v>1042694.7100000001</v>
      </c>
      <c r="M73" s="6" t="s">
        <v>253</v>
      </c>
      <c r="N73" s="8" t="s">
        <v>211</v>
      </c>
      <c r="O73" s="12" t="s">
        <v>212</v>
      </c>
      <c r="P73" s="12" t="s">
        <v>262</v>
      </c>
      <c r="Q73" s="8"/>
    </row>
    <row r="74" spans="1:17" ht="45" x14ac:dyDescent="0.25">
      <c r="A74" s="2">
        <v>3101070041</v>
      </c>
      <c r="B74" s="2" t="s">
        <v>78</v>
      </c>
      <c r="C74" s="7"/>
      <c r="D74" s="7"/>
      <c r="E74" s="5">
        <f t="shared" si="6"/>
        <v>0</v>
      </c>
      <c r="F74" s="7">
        <v>697215.6</v>
      </c>
      <c r="G74" s="7">
        <v>0</v>
      </c>
      <c r="H74" s="5">
        <f t="shared" si="10"/>
        <v>697215.6</v>
      </c>
      <c r="I74" s="7"/>
      <c r="J74" s="5">
        <f t="shared" si="8"/>
        <v>697215.6</v>
      </c>
      <c r="K74" s="8"/>
      <c r="L74" s="6">
        <f t="shared" si="9"/>
        <v>697215.6</v>
      </c>
      <c r="M74" s="6" t="s">
        <v>253</v>
      </c>
      <c r="N74" s="8" t="s">
        <v>211</v>
      </c>
      <c r="O74" s="12" t="s">
        <v>212</v>
      </c>
      <c r="P74" s="12" t="s">
        <v>262</v>
      </c>
      <c r="Q74" s="8"/>
    </row>
    <row r="75" spans="1:17" ht="45" x14ac:dyDescent="0.25">
      <c r="A75" s="2">
        <v>3101070043</v>
      </c>
      <c r="B75" s="2" t="s">
        <v>79</v>
      </c>
      <c r="C75" s="7"/>
      <c r="D75" s="7"/>
      <c r="E75" s="5">
        <f t="shared" si="6"/>
        <v>0</v>
      </c>
      <c r="F75" s="7">
        <v>482963.1</v>
      </c>
      <c r="G75" s="7">
        <v>70293.929999999993</v>
      </c>
      <c r="H75" s="5">
        <f t="shared" si="10"/>
        <v>412669.17</v>
      </c>
      <c r="I75" s="7"/>
      <c r="J75" s="5">
        <f t="shared" si="8"/>
        <v>412669.17</v>
      </c>
      <c r="K75" s="8"/>
      <c r="L75" s="6">
        <f t="shared" si="9"/>
        <v>412669.17</v>
      </c>
      <c r="M75" s="6" t="s">
        <v>253</v>
      </c>
      <c r="N75" s="8" t="s">
        <v>211</v>
      </c>
      <c r="O75" s="12" t="s">
        <v>212</v>
      </c>
      <c r="P75" s="12" t="s">
        <v>262</v>
      </c>
      <c r="Q75" s="8"/>
    </row>
    <row r="76" spans="1:17" ht="45" x14ac:dyDescent="0.25">
      <c r="A76" s="2">
        <v>3101070044</v>
      </c>
      <c r="B76" s="2" t="s">
        <v>80</v>
      </c>
      <c r="C76" s="7"/>
      <c r="D76" s="7"/>
      <c r="E76" s="5">
        <f t="shared" si="6"/>
        <v>0</v>
      </c>
      <c r="F76" s="7">
        <v>419848.28</v>
      </c>
      <c r="G76" s="7">
        <v>0</v>
      </c>
      <c r="H76" s="5">
        <f t="shared" si="10"/>
        <v>419848.28</v>
      </c>
      <c r="I76" s="7"/>
      <c r="J76" s="5">
        <f t="shared" si="8"/>
        <v>419848.28</v>
      </c>
      <c r="K76" s="8"/>
      <c r="L76" s="6">
        <f t="shared" si="9"/>
        <v>419848.28</v>
      </c>
      <c r="M76" s="6" t="s">
        <v>253</v>
      </c>
      <c r="N76" s="8" t="s">
        <v>211</v>
      </c>
      <c r="O76" s="12" t="s">
        <v>212</v>
      </c>
      <c r="P76" s="12" t="s">
        <v>262</v>
      </c>
      <c r="Q76" s="8"/>
    </row>
    <row r="77" spans="1:17" ht="45" x14ac:dyDescent="0.25">
      <c r="A77" s="2">
        <v>3101070045</v>
      </c>
      <c r="B77" s="2" t="s">
        <v>81</v>
      </c>
      <c r="C77" s="7"/>
      <c r="D77" s="7"/>
      <c r="E77" s="5">
        <f t="shared" si="6"/>
        <v>0</v>
      </c>
      <c r="F77" s="7">
        <v>11637.05</v>
      </c>
      <c r="G77" s="7">
        <v>4793.87</v>
      </c>
      <c r="H77" s="5">
        <f t="shared" si="10"/>
        <v>6843.1799999999994</v>
      </c>
      <c r="I77" s="7"/>
      <c r="J77" s="5">
        <f t="shared" si="8"/>
        <v>6843.1799999999994</v>
      </c>
      <c r="K77" s="8"/>
      <c r="L77" s="6">
        <f t="shared" si="9"/>
        <v>6843.1799999999994</v>
      </c>
      <c r="M77" s="6" t="s">
        <v>253</v>
      </c>
      <c r="N77" s="8" t="s">
        <v>211</v>
      </c>
      <c r="O77" s="12" t="s">
        <v>212</v>
      </c>
      <c r="P77" s="12" t="s">
        <v>262</v>
      </c>
      <c r="Q77" s="8"/>
    </row>
    <row r="78" spans="1:17" ht="30" x14ac:dyDescent="0.25">
      <c r="A78" s="2">
        <v>3101070047</v>
      </c>
      <c r="B78" s="2" t="s">
        <v>82</v>
      </c>
      <c r="C78" s="7"/>
      <c r="D78" s="7"/>
      <c r="E78" s="5">
        <f t="shared" si="6"/>
        <v>0</v>
      </c>
      <c r="F78" s="7">
        <v>72329.25</v>
      </c>
      <c r="G78" s="7">
        <v>0</v>
      </c>
      <c r="H78" s="5">
        <f t="shared" si="10"/>
        <v>72329.25</v>
      </c>
      <c r="I78" s="7"/>
      <c r="J78" s="5">
        <f t="shared" si="8"/>
        <v>72329.25</v>
      </c>
      <c r="K78" s="8"/>
      <c r="L78" s="6">
        <f t="shared" si="9"/>
        <v>72329.25</v>
      </c>
      <c r="M78" s="6" t="s">
        <v>253</v>
      </c>
      <c r="N78" s="8" t="s">
        <v>207</v>
      </c>
      <c r="O78" s="12" t="s">
        <v>248</v>
      </c>
      <c r="P78" s="12" t="s">
        <v>262</v>
      </c>
      <c r="Q78" s="8"/>
    </row>
    <row r="79" spans="1:17" ht="30" x14ac:dyDescent="0.25">
      <c r="A79" s="2">
        <v>3101070048</v>
      </c>
      <c r="B79" s="2" t="s">
        <v>83</v>
      </c>
      <c r="C79" s="7"/>
      <c r="D79" s="7"/>
      <c r="E79" s="5">
        <f t="shared" si="6"/>
        <v>0</v>
      </c>
      <c r="F79" s="7">
        <v>36050.160000000003</v>
      </c>
      <c r="G79" s="7">
        <v>0</v>
      </c>
      <c r="H79" s="5">
        <f t="shared" si="10"/>
        <v>36050.160000000003</v>
      </c>
      <c r="I79" s="7"/>
      <c r="J79" s="5">
        <f t="shared" si="8"/>
        <v>36050.160000000003</v>
      </c>
      <c r="K79" s="8"/>
      <c r="L79" s="6">
        <f t="shared" si="9"/>
        <v>36050.160000000003</v>
      </c>
      <c r="M79" s="6" t="s">
        <v>253</v>
      </c>
      <c r="N79" s="8" t="s">
        <v>207</v>
      </c>
      <c r="O79" s="12" t="s">
        <v>248</v>
      </c>
      <c r="P79" s="12" t="s">
        <v>262</v>
      </c>
      <c r="Q79" s="8"/>
    </row>
    <row r="80" spans="1:17" ht="45" x14ac:dyDescent="0.25">
      <c r="A80" s="2">
        <v>3101070049</v>
      </c>
      <c r="B80" s="2" t="s">
        <v>84</v>
      </c>
      <c r="C80" s="7"/>
      <c r="D80" s="7"/>
      <c r="E80" s="5">
        <f t="shared" si="6"/>
        <v>0</v>
      </c>
      <c r="F80" s="7">
        <v>388089.09</v>
      </c>
      <c r="G80" s="7">
        <v>0</v>
      </c>
      <c r="H80" s="5">
        <f t="shared" si="10"/>
        <v>388089.09</v>
      </c>
      <c r="I80" s="7"/>
      <c r="J80" s="5">
        <f t="shared" si="8"/>
        <v>388089.09</v>
      </c>
      <c r="K80" s="8"/>
      <c r="L80" s="6">
        <f t="shared" si="9"/>
        <v>388089.09</v>
      </c>
      <c r="M80" s="6" t="s">
        <v>253</v>
      </c>
      <c r="N80" s="8" t="s">
        <v>211</v>
      </c>
      <c r="O80" s="12" t="s">
        <v>212</v>
      </c>
      <c r="P80" s="12" t="s">
        <v>262</v>
      </c>
      <c r="Q80" s="8"/>
    </row>
    <row r="81" spans="1:17" x14ac:dyDescent="0.25">
      <c r="A81" s="2">
        <v>3101070050</v>
      </c>
      <c r="B81" s="2" t="s">
        <v>85</v>
      </c>
      <c r="C81" s="7"/>
      <c r="D81" s="7"/>
      <c r="E81" s="5">
        <f t="shared" si="6"/>
        <v>0</v>
      </c>
      <c r="F81" s="7">
        <v>417620</v>
      </c>
      <c r="G81" s="7">
        <v>0</v>
      </c>
      <c r="H81" s="5">
        <f t="shared" si="10"/>
        <v>417620</v>
      </c>
      <c r="I81" s="7"/>
      <c r="J81" s="5">
        <f t="shared" si="8"/>
        <v>417620</v>
      </c>
      <c r="K81" s="8"/>
      <c r="L81" s="6">
        <f t="shared" si="9"/>
        <v>417620</v>
      </c>
      <c r="M81" s="6" t="s">
        <v>253</v>
      </c>
      <c r="N81" s="8" t="s">
        <v>211</v>
      </c>
      <c r="O81" s="12" t="s">
        <v>215</v>
      </c>
      <c r="P81" s="12" t="s">
        <v>262</v>
      </c>
      <c r="Q81" s="8"/>
    </row>
    <row r="82" spans="1:17" x14ac:dyDescent="0.25">
      <c r="A82" s="2">
        <v>3201010003</v>
      </c>
      <c r="B82" s="2" t="s">
        <v>86</v>
      </c>
      <c r="C82" s="7"/>
      <c r="D82" s="7"/>
      <c r="E82" s="5">
        <f t="shared" si="6"/>
        <v>0</v>
      </c>
      <c r="F82" s="7">
        <v>402.5</v>
      </c>
      <c r="G82" s="7">
        <v>0</v>
      </c>
      <c r="H82" s="5">
        <f t="shared" si="10"/>
        <v>402.5</v>
      </c>
      <c r="I82" s="7"/>
      <c r="J82" s="5">
        <f t="shared" si="8"/>
        <v>402.5</v>
      </c>
      <c r="K82" s="8"/>
      <c r="L82" s="6">
        <f t="shared" si="9"/>
        <v>402.5</v>
      </c>
      <c r="M82" s="6" t="s">
        <v>253</v>
      </c>
      <c r="N82" s="8" t="s">
        <v>207</v>
      </c>
      <c r="O82" s="12" t="s">
        <v>243</v>
      </c>
      <c r="P82" s="12" t="s">
        <v>256</v>
      </c>
      <c r="Q82" s="8" t="s">
        <v>261</v>
      </c>
    </row>
    <row r="83" spans="1:17" x14ac:dyDescent="0.25">
      <c r="A83" s="2">
        <v>3201010009</v>
      </c>
      <c r="B83" s="2" t="s">
        <v>87</v>
      </c>
      <c r="C83" s="7"/>
      <c r="D83" s="7"/>
      <c r="E83" s="5">
        <f t="shared" si="6"/>
        <v>0</v>
      </c>
      <c r="F83" s="7">
        <v>125561.09</v>
      </c>
      <c r="G83" s="7">
        <v>0</v>
      </c>
      <c r="H83" s="5">
        <f t="shared" si="10"/>
        <v>125561.09</v>
      </c>
      <c r="I83" s="7"/>
      <c r="J83" s="5">
        <f t="shared" si="8"/>
        <v>125561.09</v>
      </c>
      <c r="K83" s="8"/>
      <c r="L83" s="6">
        <f t="shared" si="9"/>
        <v>125561.09</v>
      </c>
      <c r="M83" s="6" t="s">
        <v>253</v>
      </c>
      <c r="N83" s="8" t="s">
        <v>216</v>
      </c>
      <c r="O83" s="12" t="s">
        <v>217</v>
      </c>
      <c r="P83" s="12" t="s">
        <v>262</v>
      </c>
      <c r="Q83" s="8"/>
    </row>
    <row r="84" spans="1:17" x14ac:dyDescent="0.25">
      <c r="A84" s="2">
        <v>3201010010</v>
      </c>
      <c r="B84" s="2" t="s">
        <v>88</v>
      </c>
      <c r="C84" s="7"/>
      <c r="D84" s="7"/>
      <c r="E84" s="5">
        <f t="shared" si="6"/>
        <v>0</v>
      </c>
      <c r="F84" s="7">
        <v>24000</v>
      </c>
      <c r="G84" s="7">
        <v>0</v>
      </c>
      <c r="H84" s="5">
        <f t="shared" si="10"/>
        <v>24000</v>
      </c>
      <c r="I84" s="7"/>
      <c r="J84" s="5">
        <f t="shared" si="8"/>
        <v>24000</v>
      </c>
      <c r="K84" s="8"/>
      <c r="L84" s="6">
        <f t="shared" si="9"/>
        <v>24000</v>
      </c>
      <c r="M84" s="6" t="s">
        <v>253</v>
      </c>
      <c r="N84" s="8" t="s">
        <v>216</v>
      </c>
      <c r="O84" s="12" t="s">
        <v>218</v>
      </c>
      <c r="P84" s="12" t="s">
        <v>262</v>
      </c>
      <c r="Q84" s="8"/>
    </row>
    <row r="85" spans="1:17" x14ac:dyDescent="0.25">
      <c r="A85" s="2">
        <v>3201010016</v>
      </c>
      <c r="B85" s="2" t="s">
        <v>89</v>
      </c>
      <c r="C85" s="7"/>
      <c r="D85" s="7"/>
      <c r="E85" s="5">
        <f t="shared" ref="E85:E96" si="11">C85-D85</f>
        <v>0</v>
      </c>
      <c r="F85" s="7">
        <v>155824.20000000001</v>
      </c>
      <c r="G85" s="7">
        <v>0.01</v>
      </c>
      <c r="H85" s="5">
        <f t="shared" si="10"/>
        <v>155824.19</v>
      </c>
      <c r="I85" s="7"/>
      <c r="J85" s="5">
        <f t="shared" ref="J85:J129" si="12">H85-I85</f>
        <v>155824.19</v>
      </c>
      <c r="K85" s="8"/>
      <c r="L85" s="6">
        <f t="shared" si="9"/>
        <v>155824.19</v>
      </c>
      <c r="M85" s="6" t="s">
        <v>253</v>
      </c>
      <c r="N85" s="8" t="s">
        <v>216</v>
      </c>
      <c r="O85" s="12" t="s">
        <v>219</v>
      </c>
      <c r="P85" s="12" t="s">
        <v>262</v>
      </c>
      <c r="Q85" s="8"/>
    </row>
    <row r="86" spans="1:17" x14ac:dyDescent="0.25">
      <c r="A86" s="2">
        <v>3201010017</v>
      </c>
      <c r="B86" s="2" t="s">
        <v>90</v>
      </c>
      <c r="C86" s="7"/>
      <c r="D86" s="7"/>
      <c r="E86" s="5">
        <f t="shared" si="11"/>
        <v>0</v>
      </c>
      <c r="F86" s="7">
        <v>3175.3</v>
      </c>
      <c r="G86" s="7">
        <v>0</v>
      </c>
      <c r="H86" s="5">
        <f t="shared" si="10"/>
        <v>3175.3</v>
      </c>
      <c r="I86" s="7"/>
      <c r="J86" s="5">
        <f t="shared" si="12"/>
        <v>3175.3</v>
      </c>
      <c r="K86" s="8"/>
      <c r="L86" s="6">
        <f t="shared" si="9"/>
        <v>3175.3</v>
      </c>
      <c r="M86" s="6" t="s">
        <v>253</v>
      </c>
      <c r="N86" s="8" t="s">
        <v>216</v>
      </c>
      <c r="O86" s="12" t="s">
        <v>219</v>
      </c>
      <c r="P86" s="12" t="s">
        <v>262</v>
      </c>
      <c r="Q86" s="8"/>
    </row>
    <row r="87" spans="1:17" x14ac:dyDescent="0.25">
      <c r="A87" s="2">
        <v>3201010018</v>
      </c>
      <c r="B87" s="2" t="s">
        <v>91</v>
      </c>
      <c r="C87" s="7"/>
      <c r="D87" s="7"/>
      <c r="E87" s="5">
        <f t="shared" si="11"/>
        <v>0</v>
      </c>
      <c r="F87" s="7">
        <v>100450.53</v>
      </c>
      <c r="G87" s="7">
        <v>0</v>
      </c>
      <c r="H87" s="5">
        <f t="shared" si="10"/>
        <v>100450.53</v>
      </c>
      <c r="I87" s="7"/>
      <c r="J87" s="5">
        <f t="shared" si="12"/>
        <v>100450.53</v>
      </c>
      <c r="K87" s="8"/>
      <c r="L87" s="6">
        <f t="shared" si="9"/>
        <v>100450.53</v>
      </c>
      <c r="M87" s="6" t="s">
        <v>253</v>
      </c>
      <c r="N87" s="8" t="s">
        <v>216</v>
      </c>
      <c r="O87" s="12" t="s">
        <v>218</v>
      </c>
      <c r="P87" s="12" t="s">
        <v>262</v>
      </c>
      <c r="Q87" s="8"/>
    </row>
    <row r="88" spans="1:17" x14ac:dyDescent="0.25">
      <c r="A88" s="2">
        <v>3201010020</v>
      </c>
      <c r="B88" s="2" t="s">
        <v>92</v>
      </c>
      <c r="C88" s="7"/>
      <c r="D88" s="7"/>
      <c r="E88" s="5">
        <f t="shared" si="11"/>
        <v>0</v>
      </c>
      <c r="F88" s="7">
        <v>28981</v>
      </c>
      <c r="G88" s="7">
        <v>0</v>
      </c>
      <c r="H88" s="5">
        <f t="shared" si="10"/>
        <v>28981</v>
      </c>
      <c r="I88" s="7"/>
      <c r="J88" s="5">
        <f t="shared" si="12"/>
        <v>28981</v>
      </c>
      <c r="K88" s="8"/>
      <c r="L88" s="6">
        <f t="shared" si="9"/>
        <v>28981</v>
      </c>
      <c r="M88" s="6" t="s">
        <v>253</v>
      </c>
      <c r="N88" s="8" t="s">
        <v>216</v>
      </c>
      <c r="O88" s="12" t="s">
        <v>220</v>
      </c>
      <c r="P88" s="12" t="s">
        <v>262</v>
      </c>
      <c r="Q88" s="8"/>
    </row>
    <row r="89" spans="1:17" x14ac:dyDescent="0.25">
      <c r="A89" s="2">
        <v>3201010021</v>
      </c>
      <c r="B89" s="2" t="s">
        <v>93</v>
      </c>
      <c r="C89" s="7"/>
      <c r="D89" s="7"/>
      <c r="E89" s="5">
        <f t="shared" si="11"/>
        <v>0</v>
      </c>
      <c r="F89" s="7">
        <v>290270.42</v>
      </c>
      <c r="G89" s="7">
        <v>106511.84</v>
      </c>
      <c r="H89" s="5">
        <f t="shared" si="10"/>
        <v>183758.58</v>
      </c>
      <c r="I89" s="7"/>
      <c r="J89" s="5">
        <f t="shared" si="12"/>
        <v>183758.58</v>
      </c>
      <c r="K89" s="8"/>
      <c r="L89" s="6">
        <f t="shared" si="9"/>
        <v>183758.58</v>
      </c>
      <c r="M89" s="6" t="s">
        <v>253</v>
      </c>
      <c r="N89" s="8" t="s">
        <v>216</v>
      </c>
      <c r="O89" s="12" t="s">
        <v>218</v>
      </c>
      <c r="P89" s="12" t="s">
        <v>262</v>
      </c>
      <c r="Q89" s="8"/>
    </row>
    <row r="90" spans="1:17" x14ac:dyDescent="0.25">
      <c r="A90" s="2">
        <v>3201010022</v>
      </c>
      <c r="B90" s="2" t="s">
        <v>94</v>
      </c>
      <c r="C90" s="7"/>
      <c r="D90" s="7"/>
      <c r="E90" s="5">
        <f t="shared" si="11"/>
        <v>0</v>
      </c>
      <c r="F90" s="7">
        <v>378864.1</v>
      </c>
      <c r="G90" s="7">
        <v>0</v>
      </c>
      <c r="H90" s="5">
        <f t="shared" si="10"/>
        <v>378864.1</v>
      </c>
      <c r="I90" s="7"/>
      <c r="J90" s="5">
        <f t="shared" si="12"/>
        <v>378864.1</v>
      </c>
      <c r="K90" s="8"/>
      <c r="L90" s="6">
        <f t="shared" si="9"/>
        <v>378864.1</v>
      </c>
      <c r="M90" s="6" t="s">
        <v>253</v>
      </c>
      <c r="N90" s="8" t="s">
        <v>216</v>
      </c>
      <c r="O90" s="12" t="s">
        <v>218</v>
      </c>
      <c r="P90" s="12" t="s">
        <v>262</v>
      </c>
      <c r="Q90" s="8"/>
    </row>
    <row r="91" spans="1:17" x14ac:dyDescent="0.25">
      <c r="A91" s="2">
        <v>3201010026</v>
      </c>
      <c r="B91" s="2" t="s">
        <v>95</v>
      </c>
      <c r="C91" s="7"/>
      <c r="D91" s="7"/>
      <c r="E91" s="5">
        <f t="shared" si="11"/>
        <v>0</v>
      </c>
      <c r="F91" s="7">
        <v>599095.23</v>
      </c>
      <c r="G91" s="7">
        <v>0</v>
      </c>
      <c r="H91" s="5">
        <f t="shared" si="10"/>
        <v>599095.23</v>
      </c>
      <c r="I91" s="7"/>
      <c r="J91" s="5">
        <f t="shared" si="12"/>
        <v>599095.23</v>
      </c>
      <c r="K91" s="8"/>
      <c r="L91" s="6">
        <f t="shared" si="9"/>
        <v>599095.23</v>
      </c>
      <c r="M91" s="6" t="s">
        <v>253</v>
      </c>
      <c r="N91" s="8" t="s">
        <v>216</v>
      </c>
      <c r="O91" s="12" t="s">
        <v>220</v>
      </c>
      <c r="P91" s="12" t="s">
        <v>256</v>
      </c>
      <c r="Q91" s="8" t="s">
        <v>269</v>
      </c>
    </row>
    <row r="92" spans="1:17" x14ac:dyDescent="0.25">
      <c r="A92" s="2">
        <v>3201020001</v>
      </c>
      <c r="B92" s="2" t="s">
        <v>96</v>
      </c>
      <c r="C92" s="7"/>
      <c r="D92" s="7"/>
      <c r="E92" s="5">
        <f t="shared" si="11"/>
        <v>0</v>
      </c>
      <c r="F92" s="7">
        <v>1.1499999999999999</v>
      </c>
      <c r="G92" s="7">
        <v>0</v>
      </c>
      <c r="H92" s="5">
        <f t="shared" si="10"/>
        <v>1.1499999999999999</v>
      </c>
      <c r="I92" s="7"/>
      <c r="J92" s="5">
        <f t="shared" si="12"/>
        <v>1.1499999999999999</v>
      </c>
      <c r="K92" s="8"/>
      <c r="L92" s="6">
        <f t="shared" si="9"/>
        <v>1.1499999999999999</v>
      </c>
      <c r="M92" s="6" t="s">
        <v>253</v>
      </c>
      <c r="N92" s="8" t="s">
        <v>216</v>
      </c>
      <c r="O92" s="12" t="s">
        <v>218</v>
      </c>
      <c r="P92" s="12" t="s">
        <v>256</v>
      </c>
      <c r="Q92" s="8" t="s">
        <v>263</v>
      </c>
    </row>
    <row r="93" spans="1:17" x14ac:dyDescent="0.25">
      <c r="A93" s="2">
        <v>3201020002</v>
      </c>
      <c r="B93" s="2" t="s">
        <v>40</v>
      </c>
      <c r="C93" s="7"/>
      <c r="D93" s="7"/>
      <c r="E93" s="5">
        <f t="shared" si="11"/>
        <v>0</v>
      </c>
      <c r="F93" s="7">
        <v>1452.14</v>
      </c>
      <c r="G93" s="7">
        <v>0.02</v>
      </c>
      <c r="H93" s="5">
        <f t="shared" si="10"/>
        <v>1452.1200000000001</v>
      </c>
      <c r="I93" s="7"/>
      <c r="J93" s="5">
        <f t="shared" si="12"/>
        <v>1452.1200000000001</v>
      </c>
      <c r="K93" s="8"/>
      <c r="L93" s="6">
        <f t="shared" si="9"/>
        <v>1452.1200000000001</v>
      </c>
      <c r="M93" s="6" t="s">
        <v>253</v>
      </c>
      <c r="N93" s="8" t="s">
        <v>207</v>
      </c>
      <c r="O93" s="12" t="s">
        <v>248</v>
      </c>
      <c r="P93" s="12" t="s">
        <v>262</v>
      </c>
      <c r="Q93" s="8"/>
    </row>
    <row r="94" spans="1:17" x14ac:dyDescent="0.25">
      <c r="A94" s="2">
        <v>3201020008</v>
      </c>
      <c r="B94" s="2" t="s">
        <v>97</v>
      </c>
      <c r="C94" s="7"/>
      <c r="D94" s="7"/>
      <c r="E94" s="5">
        <f t="shared" si="11"/>
        <v>0</v>
      </c>
      <c r="F94" s="7">
        <v>2802.9</v>
      </c>
      <c r="G94" s="7">
        <v>0</v>
      </c>
      <c r="H94" s="5">
        <f t="shared" si="10"/>
        <v>2802.9</v>
      </c>
      <c r="I94" s="7"/>
      <c r="J94" s="5">
        <f t="shared" si="12"/>
        <v>2802.9</v>
      </c>
      <c r="K94" s="8"/>
      <c r="L94" s="6">
        <f t="shared" ref="L94:L157" si="13">J94+K94</f>
        <v>2802.9</v>
      </c>
      <c r="M94" s="6" t="s">
        <v>253</v>
      </c>
      <c r="N94" s="8" t="s">
        <v>216</v>
      </c>
      <c r="O94" s="12" t="s">
        <v>217</v>
      </c>
      <c r="P94" s="12" t="s">
        <v>262</v>
      </c>
      <c r="Q94" s="8"/>
    </row>
    <row r="95" spans="1:17" x14ac:dyDescent="0.25">
      <c r="A95" s="2">
        <v>3202010018</v>
      </c>
      <c r="B95" s="2" t="s">
        <v>98</v>
      </c>
      <c r="C95" s="7"/>
      <c r="D95" s="7"/>
      <c r="E95" s="5">
        <f t="shared" si="11"/>
        <v>0</v>
      </c>
      <c r="F95" s="7">
        <v>20910</v>
      </c>
      <c r="G95" s="7">
        <v>16000</v>
      </c>
      <c r="H95" s="5">
        <f t="shared" si="10"/>
        <v>4910</v>
      </c>
      <c r="I95" s="7"/>
      <c r="J95" s="5">
        <f t="shared" si="12"/>
        <v>4910</v>
      </c>
      <c r="K95" s="8"/>
      <c r="L95" s="6">
        <f t="shared" si="13"/>
        <v>4910</v>
      </c>
      <c r="M95" s="6" t="s">
        <v>253</v>
      </c>
      <c r="N95" s="8" t="s">
        <v>216</v>
      </c>
      <c r="O95" s="12" t="s">
        <v>218</v>
      </c>
      <c r="P95" s="12" t="s">
        <v>262</v>
      </c>
      <c r="Q95" s="8"/>
    </row>
    <row r="96" spans="1:17" x14ac:dyDescent="0.25">
      <c r="A96" s="2">
        <v>3202010023</v>
      </c>
      <c r="B96" s="2" t="s">
        <v>99</v>
      </c>
      <c r="C96" s="7"/>
      <c r="D96" s="7"/>
      <c r="E96" s="5">
        <f t="shared" si="11"/>
        <v>0</v>
      </c>
      <c r="F96" s="7">
        <v>77924.600000000006</v>
      </c>
      <c r="G96" s="7">
        <v>0</v>
      </c>
      <c r="H96" s="5">
        <f t="shared" si="10"/>
        <v>77924.600000000006</v>
      </c>
      <c r="I96" s="7"/>
      <c r="J96" s="5">
        <f t="shared" si="12"/>
        <v>77924.600000000006</v>
      </c>
      <c r="K96" s="8"/>
      <c r="L96" s="6">
        <f t="shared" si="13"/>
        <v>77924.600000000006</v>
      </c>
      <c r="M96" s="6" t="s">
        <v>253</v>
      </c>
      <c r="N96" s="8" t="s">
        <v>207</v>
      </c>
      <c r="O96" s="12" t="s">
        <v>245</v>
      </c>
      <c r="P96" s="14" t="s">
        <v>265</v>
      </c>
      <c r="Q96" s="13"/>
    </row>
    <row r="97" spans="1:20" ht="30" x14ac:dyDescent="0.25">
      <c r="A97" s="2" t="s">
        <v>208</v>
      </c>
      <c r="B97" s="2" t="s">
        <v>100</v>
      </c>
      <c r="C97" s="7"/>
      <c r="D97" s="7"/>
      <c r="E97" s="5"/>
      <c r="F97" s="7">
        <v>707119</v>
      </c>
      <c r="G97" s="7"/>
      <c r="H97" s="5">
        <f t="shared" si="10"/>
        <v>707119</v>
      </c>
      <c r="I97" s="7"/>
      <c r="J97" s="5">
        <f t="shared" si="12"/>
        <v>707119</v>
      </c>
      <c r="K97" s="8"/>
      <c r="L97" s="6">
        <f t="shared" si="13"/>
        <v>707119</v>
      </c>
      <c r="M97" s="6" t="s">
        <v>253</v>
      </c>
      <c r="N97" s="8" t="s">
        <v>207</v>
      </c>
      <c r="O97" s="12" t="s">
        <v>250</v>
      </c>
      <c r="P97" s="12" t="s">
        <v>267</v>
      </c>
      <c r="Q97" s="8"/>
    </row>
    <row r="98" spans="1:20" x14ac:dyDescent="0.25">
      <c r="A98" s="2">
        <v>3202010026</v>
      </c>
      <c r="B98" s="2" t="s">
        <v>100</v>
      </c>
      <c r="C98" s="7"/>
      <c r="D98" s="7"/>
      <c r="E98" s="5">
        <f t="shared" ref="E98:E129" si="14">C98-D98</f>
        <v>0</v>
      </c>
      <c r="F98" s="7">
        <f>721863.77-707119</f>
        <v>14744.770000000019</v>
      </c>
      <c r="G98" s="7">
        <v>43.52</v>
      </c>
      <c r="H98" s="5">
        <f t="shared" si="10"/>
        <v>14701.250000000018</v>
      </c>
      <c r="I98" s="7"/>
      <c r="J98" s="5">
        <f t="shared" si="12"/>
        <v>14701.250000000018</v>
      </c>
      <c r="K98" s="8"/>
      <c r="L98" s="6">
        <f t="shared" si="13"/>
        <v>14701.250000000018</v>
      </c>
      <c r="M98" s="6" t="s">
        <v>253</v>
      </c>
      <c r="N98" s="8" t="s">
        <v>207</v>
      </c>
      <c r="O98" s="12" t="s">
        <v>244</v>
      </c>
      <c r="P98" s="12" t="s">
        <v>262</v>
      </c>
      <c r="Q98" s="8"/>
    </row>
    <row r="99" spans="1:20" x14ac:dyDescent="0.25">
      <c r="A99" s="2">
        <v>3202010031</v>
      </c>
      <c r="B99" s="2" t="s">
        <v>101</v>
      </c>
      <c r="C99" s="7"/>
      <c r="D99" s="7"/>
      <c r="E99" s="5">
        <f t="shared" si="14"/>
        <v>0</v>
      </c>
      <c r="F99" s="7">
        <v>32.200000000000003</v>
      </c>
      <c r="G99" s="7">
        <v>0</v>
      </c>
      <c r="H99" s="5">
        <f t="shared" si="10"/>
        <v>32.200000000000003</v>
      </c>
      <c r="I99" s="7"/>
      <c r="J99" s="5">
        <f t="shared" si="12"/>
        <v>32.200000000000003</v>
      </c>
      <c r="K99" s="8"/>
      <c r="L99" s="6">
        <f t="shared" si="13"/>
        <v>32.200000000000003</v>
      </c>
      <c r="M99" s="6" t="s">
        <v>253</v>
      </c>
      <c r="N99" s="8" t="s">
        <v>216</v>
      </c>
      <c r="O99" s="12" t="s">
        <v>218</v>
      </c>
      <c r="P99" s="12" t="s">
        <v>262</v>
      </c>
      <c r="Q99" s="8"/>
    </row>
    <row r="100" spans="1:20" ht="30" x14ac:dyDescent="0.25">
      <c r="A100" s="2">
        <v>3202010034</v>
      </c>
      <c r="B100" s="2" t="s">
        <v>102</v>
      </c>
      <c r="C100" s="7"/>
      <c r="D100" s="7"/>
      <c r="E100" s="5">
        <f t="shared" si="14"/>
        <v>0</v>
      </c>
      <c r="F100" s="7">
        <v>94477.65</v>
      </c>
      <c r="G100" s="7">
        <v>0</v>
      </c>
      <c r="H100" s="5">
        <f t="shared" si="10"/>
        <v>94477.65</v>
      </c>
      <c r="I100" s="7"/>
      <c r="J100" s="5">
        <f t="shared" si="12"/>
        <v>94477.65</v>
      </c>
      <c r="K100" s="8"/>
      <c r="L100" s="6">
        <f t="shared" si="13"/>
        <v>94477.65</v>
      </c>
      <c r="M100" s="6" t="s">
        <v>253</v>
      </c>
      <c r="N100" s="8" t="s">
        <v>216</v>
      </c>
      <c r="O100" s="12" t="s">
        <v>218</v>
      </c>
      <c r="P100" s="12" t="s">
        <v>262</v>
      </c>
      <c r="Q100" s="8"/>
    </row>
    <row r="101" spans="1:20" x14ac:dyDescent="0.25">
      <c r="A101" s="2">
        <v>3202010038</v>
      </c>
      <c r="B101" s="2" t="s">
        <v>103</v>
      </c>
      <c r="C101" s="7"/>
      <c r="D101" s="7"/>
      <c r="E101" s="5">
        <f t="shared" si="14"/>
        <v>0</v>
      </c>
      <c r="F101" s="7">
        <v>44597.67</v>
      </c>
      <c r="G101" s="7">
        <v>47.92</v>
      </c>
      <c r="H101" s="5">
        <f t="shared" si="10"/>
        <v>44549.75</v>
      </c>
      <c r="I101" s="7"/>
      <c r="J101" s="5">
        <f t="shared" si="12"/>
        <v>44549.75</v>
      </c>
      <c r="K101" s="8"/>
      <c r="L101" s="6">
        <f t="shared" si="13"/>
        <v>44549.75</v>
      </c>
      <c r="M101" s="6" t="s">
        <v>253</v>
      </c>
      <c r="N101" s="8" t="s">
        <v>216</v>
      </c>
      <c r="O101" s="12" t="s">
        <v>217</v>
      </c>
      <c r="P101" s="12" t="s">
        <v>262</v>
      </c>
      <c r="Q101" s="8"/>
    </row>
    <row r="102" spans="1:20" x14ac:dyDescent="0.25">
      <c r="A102" s="2">
        <v>3202010039</v>
      </c>
      <c r="B102" s="2" t="s">
        <v>104</v>
      </c>
      <c r="C102" s="7"/>
      <c r="D102" s="7"/>
      <c r="E102" s="5">
        <f t="shared" si="14"/>
        <v>0</v>
      </c>
      <c r="F102" s="7">
        <v>6543.33</v>
      </c>
      <c r="G102" s="7">
        <v>0</v>
      </c>
      <c r="H102" s="5">
        <f t="shared" si="10"/>
        <v>6543.33</v>
      </c>
      <c r="I102" s="7"/>
      <c r="J102" s="5">
        <f t="shared" si="12"/>
        <v>6543.33</v>
      </c>
      <c r="K102" s="8"/>
      <c r="L102" s="6">
        <f t="shared" si="13"/>
        <v>6543.33</v>
      </c>
      <c r="M102" s="6" t="s">
        <v>253</v>
      </c>
      <c r="N102" s="8" t="s">
        <v>216</v>
      </c>
      <c r="O102" s="12" t="s">
        <v>218</v>
      </c>
      <c r="P102" s="12" t="s">
        <v>262</v>
      </c>
      <c r="Q102" s="8"/>
    </row>
    <row r="103" spans="1:20" x14ac:dyDescent="0.25">
      <c r="A103" s="2">
        <v>3203010001</v>
      </c>
      <c r="B103" s="2" t="s">
        <v>105</v>
      </c>
      <c r="C103" s="7"/>
      <c r="D103" s="7"/>
      <c r="E103" s="5">
        <f t="shared" si="14"/>
        <v>0</v>
      </c>
      <c r="F103" s="7">
        <v>6760745.9400000004</v>
      </c>
      <c r="G103" s="7">
        <v>322389.53999999998</v>
      </c>
      <c r="H103" s="5">
        <f t="shared" si="10"/>
        <v>6438356.4000000004</v>
      </c>
      <c r="I103" s="7"/>
      <c r="J103" s="5">
        <f t="shared" si="12"/>
        <v>6438356.4000000004</v>
      </c>
      <c r="K103" s="8"/>
      <c r="L103" s="6">
        <f t="shared" si="13"/>
        <v>6438356.4000000004</v>
      </c>
      <c r="M103" s="6" t="s">
        <v>253</v>
      </c>
      <c r="N103" s="8" t="s">
        <v>216</v>
      </c>
      <c r="O103" s="12" t="s">
        <v>220</v>
      </c>
      <c r="P103" s="12" t="s">
        <v>256</v>
      </c>
      <c r="Q103" s="8" t="s">
        <v>257</v>
      </c>
    </row>
    <row r="104" spans="1:20" x14ac:dyDescent="0.25">
      <c r="A104" s="2">
        <v>3203010004</v>
      </c>
      <c r="B104" s="2" t="s">
        <v>106</v>
      </c>
      <c r="C104" s="7"/>
      <c r="D104" s="7"/>
      <c r="E104" s="5">
        <f t="shared" si="14"/>
        <v>0</v>
      </c>
      <c r="F104" s="7">
        <v>0</v>
      </c>
      <c r="G104" s="7">
        <v>200</v>
      </c>
      <c r="H104" s="7"/>
      <c r="I104" s="7">
        <f>-E104+G104-F104</f>
        <v>200</v>
      </c>
      <c r="J104" s="5">
        <f t="shared" si="12"/>
        <v>-200</v>
      </c>
      <c r="K104" s="8"/>
      <c r="L104" s="6">
        <f t="shared" si="13"/>
        <v>-200</v>
      </c>
      <c r="M104" s="6" t="s">
        <v>253</v>
      </c>
      <c r="N104" s="8" t="s">
        <v>216</v>
      </c>
      <c r="O104" s="12" t="s">
        <v>220</v>
      </c>
      <c r="P104" s="12" t="s">
        <v>256</v>
      </c>
      <c r="Q104" s="8" t="s">
        <v>257</v>
      </c>
    </row>
    <row r="105" spans="1:20" x14ac:dyDescent="0.25">
      <c r="A105" s="2">
        <v>3204010001</v>
      </c>
      <c r="B105" s="2" t="s">
        <v>105</v>
      </c>
      <c r="C105" s="7"/>
      <c r="D105" s="7"/>
      <c r="E105" s="5">
        <f t="shared" si="14"/>
        <v>0</v>
      </c>
      <c r="F105" s="7">
        <v>180092353.40000001</v>
      </c>
      <c r="G105" s="7">
        <v>436463.53</v>
      </c>
      <c r="H105" s="5">
        <f t="shared" ref="H105:H124" si="15">E105+F105-G105</f>
        <v>179655889.87</v>
      </c>
      <c r="I105" s="7"/>
      <c r="J105" s="5">
        <f t="shared" si="12"/>
        <v>179655889.87</v>
      </c>
      <c r="K105" s="8">
        <v>-78875963.870000005</v>
      </c>
      <c r="L105" s="6">
        <f t="shared" si="13"/>
        <v>100779926</v>
      </c>
      <c r="M105" s="6" t="s">
        <v>253</v>
      </c>
      <c r="N105" s="8" t="s">
        <v>216</v>
      </c>
      <c r="O105" s="12" t="s">
        <v>220</v>
      </c>
      <c r="P105" s="12" t="s">
        <v>256</v>
      </c>
      <c r="Q105" s="8" t="s">
        <v>257</v>
      </c>
      <c r="R105" s="11" t="s">
        <v>231</v>
      </c>
      <c r="S105" s="11" t="s">
        <v>236</v>
      </c>
    </row>
    <row r="106" spans="1:20" x14ac:dyDescent="0.25">
      <c r="A106" s="2">
        <v>3204010002</v>
      </c>
      <c r="B106" s="2" t="s">
        <v>9</v>
      </c>
      <c r="C106" s="7"/>
      <c r="D106" s="7"/>
      <c r="E106" s="5">
        <f t="shared" si="14"/>
        <v>0</v>
      </c>
      <c r="F106" s="7">
        <v>5901526.5</v>
      </c>
      <c r="G106" s="7">
        <v>2168.33</v>
      </c>
      <c r="H106" s="5">
        <f t="shared" si="15"/>
        <v>5899358.1699999999</v>
      </c>
      <c r="I106" s="7"/>
      <c r="J106" s="5">
        <f t="shared" si="12"/>
        <v>5899358.1699999999</v>
      </c>
      <c r="K106" s="8"/>
      <c r="L106" s="6">
        <f t="shared" si="13"/>
        <v>5899358.1699999999</v>
      </c>
      <c r="M106" s="6" t="s">
        <v>253</v>
      </c>
      <c r="N106" s="8" t="s">
        <v>216</v>
      </c>
      <c r="O106" s="12" t="s">
        <v>220</v>
      </c>
      <c r="P106" s="12" t="s">
        <v>256</v>
      </c>
      <c r="Q106" s="8" t="s">
        <v>258</v>
      </c>
      <c r="R106" s="11" t="s">
        <v>239</v>
      </c>
      <c r="S106" s="11" t="s">
        <v>240</v>
      </c>
      <c r="T106" s="10" t="s">
        <v>242</v>
      </c>
    </row>
    <row r="107" spans="1:20" x14ac:dyDescent="0.25">
      <c r="A107" s="2">
        <v>3204010004</v>
      </c>
      <c r="B107" s="2" t="s">
        <v>107</v>
      </c>
      <c r="C107" s="7"/>
      <c r="D107" s="7"/>
      <c r="E107" s="5">
        <f t="shared" si="14"/>
        <v>0</v>
      </c>
      <c r="F107" s="7">
        <v>7338644</v>
      </c>
      <c r="G107" s="7">
        <v>479271.37</v>
      </c>
      <c r="H107" s="5">
        <f t="shared" si="15"/>
        <v>6859372.6299999999</v>
      </c>
      <c r="I107" s="7"/>
      <c r="J107" s="5">
        <f t="shared" si="12"/>
        <v>6859372.6299999999</v>
      </c>
      <c r="K107" s="8"/>
      <c r="L107" s="6">
        <f t="shared" si="13"/>
        <v>6859372.6299999999</v>
      </c>
      <c r="M107" s="6" t="s">
        <v>253</v>
      </c>
      <c r="N107" s="8" t="s">
        <v>216</v>
      </c>
      <c r="O107" s="12" t="s">
        <v>220</v>
      </c>
      <c r="P107" s="12" t="s">
        <v>256</v>
      </c>
      <c r="Q107" s="8" t="s">
        <v>261</v>
      </c>
    </row>
    <row r="108" spans="1:20" x14ac:dyDescent="0.25">
      <c r="A108" s="2">
        <v>3204010005</v>
      </c>
      <c r="B108" s="2" t="s">
        <v>10</v>
      </c>
      <c r="C108" s="7"/>
      <c r="D108" s="7"/>
      <c r="E108" s="5">
        <f t="shared" si="14"/>
        <v>0</v>
      </c>
      <c r="F108" s="7">
        <v>10202814.18</v>
      </c>
      <c r="G108" s="7">
        <v>5001987</v>
      </c>
      <c r="H108" s="5">
        <f t="shared" si="15"/>
        <v>5200827.18</v>
      </c>
      <c r="I108" s="7"/>
      <c r="J108" s="5">
        <f t="shared" si="12"/>
        <v>5200827.18</v>
      </c>
      <c r="K108" s="8"/>
      <c r="L108" s="6">
        <f t="shared" si="13"/>
        <v>5200827.18</v>
      </c>
      <c r="M108" s="6" t="s">
        <v>253</v>
      </c>
      <c r="N108" s="8" t="s">
        <v>216</v>
      </c>
      <c r="O108" s="12" t="s">
        <v>220</v>
      </c>
      <c r="P108" s="12" t="s">
        <v>256</v>
      </c>
      <c r="Q108" s="8" t="s">
        <v>259</v>
      </c>
      <c r="R108" s="11" t="s">
        <v>238</v>
      </c>
    </row>
    <row r="109" spans="1:20" x14ac:dyDescent="0.25">
      <c r="A109" s="2">
        <v>3204010006</v>
      </c>
      <c r="B109" s="2" t="s">
        <v>26</v>
      </c>
      <c r="C109" s="7"/>
      <c r="D109" s="7"/>
      <c r="E109" s="5">
        <f t="shared" si="14"/>
        <v>0</v>
      </c>
      <c r="F109" s="7">
        <v>1917899.87</v>
      </c>
      <c r="G109" s="7">
        <v>180838.78</v>
      </c>
      <c r="H109" s="5">
        <f t="shared" si="15"/>
        <v>1737061.09</v>
      </c>
      <c r="I109" s="7"/>
      <c r="J109" s="5">
        <f t="shared" si="12"/>
        <v>1737061.09</v>
      </c>
      <c r="K109" s="8"/>
      <c r="L109" s="6">
        <f t="shared" si="13"/>
        <v>1737061.09</v>
      </c>
      <c r="M109" s="6" t="s">
        <v>253</v>
      </c>
      <c r="N109" s="8" t="s">
        <v>216</v>
      </c>
      <c r="O109" s="12" t="s">
        <v>217</v>
      </c>
      <c r="P109" s="12" t="s">
        <v>262</v>
      </c>
      <c r="Q109" s="8"/>
    </row>
    <row r="110" spans="1:20" x14ac:dyDescent="0.25">
      <c r="A110" s="2">
        <v>3204010007</v>
      </c>
      <c r="B110" s="2" t="s">
        <v>108</v>
      </c>
      <c r="C110" s="7"/>
      <c r="D110" s="7"/>
      <c r="E110" s="5">
        <f t="shared" si="14"/>
        <v>0</v>
      </c>
      <c r="F110" s="7">
        <v>263087.74</v>
      </c>
      <c r="G110" s="7">
        <v>0</v>
      </c>
      <c r="H110" s="5">
        <f t="shared" si="15"/>
        <v>263087.74</v>
      </c>
      <c r="I110" s="7"/>
      <c r="J110" s="5">
        <f t="shared" si="12"/>
        <v>263087.74</v>
      </c>
      <c r="K110" s="8"/>
      <c r="L110" s="6">
        <f t="shared" si="13"/>
        <v>263087.74</v>
      </c>
      <c r="M110" s="6" t="s">
        <v>253</v>
      </c>
      <c r="N110" s="8" t="s">
        <v>216</v>
      </c>
      <c r="O110" s="12" t="s">
        <v>217</v>
      </c>
      <c r="P110" s="12" t="s">
        <v>262</v>
      </c>
      <c r="Q110" s="8"/>
    </row>
    <row r="111" spans="1:20" x14ac:dyDescent="0.25">
      <c r="A111" s="2">
        <v>3204010008</v>
      </c>
      <c r="B111" s="2" t="s">
        <v>87</v>
      </c>
      <c r="C111" s="7"/>
      <c r="D111" s="7"/>
      <c r="E111" s="5">
        <f t="shared" si="14"/>
        <v>0</v>
      </c>
      <c r="F111" s="7">
        <v>6449333.0199999996</v>
      </c>
      <c r="G111" s="7">
        <v>956.39</v>
      </c>
      <c r="H111" s="5">
        <f t="shared" si="15"/>
        <v>6448376.6299999999</v>
      </c>
      <c r="I111" s="7"/>
      <c r="J111" s="5">
        <f t="shared" si="12"/>
        <v>6448376.6299999999</v>
      </c>
      <c r="K111" s="8"/>
      <c r="L111" s="6">
        <f t="shared" si="13"/>
        <v>6448376.6299999999</v>
      </c>
      <c r="M111" s="6" t="s">
        <v>253</v>
      </c>
      <c r="N111" s="8" t="s">
        <v>216</v>
      </c>
      <c r="O111" s="12" t="s">
        <v>217</v>
      </c>
      <c r="P111" s="12" t="s">
        <v>262</v>
      </c>
      <c r="Q111" s="8"/>
    </row>
    <row r="112" spans="1:20" x14ac:dyDescent="0.25">
      <c r="A112" s="2">
        <v>3204010009</v>
      </c>
      <c r="B112" s="2" t="s">
        <v>109</v>
      </c>
      <c r="C112" s="7"/>
      <c r="D112" s="7"/>
      <c r="E112" s="5">
        <f t="shared" si="14"/>
        <v>0</v>
      </c>
      <c r="F112" s="7">
        <v>529405.06000000006</v>
      </c>
      <c r="G112" s="7">
        <v>0</v>
      </c>
      <c r="H112" s="5">
        <f t="shared" si="15"/>
        <v>529405.06000000006</v>
      </c>
      <c r="I112" s="7"/>
      <c r="J112" s="5">
        <f t="shared" si="12"/>
        <v>529405.06000000006</v>
      </c>
      <c r="K112" s="8"/>
      <c r="L112" s="6">
        <f t="shared" si="13"/>
        <v>529405.06000000006</v>
      </c>
      <c r="M112" s="6" t="s">
        <v>253</v>
      </c>
      <c r="N112" s="8" t="s">
        <v>216</v>
      </c>
      <c r="O112" s="12" t="s">
        <v>217</v>
      </c>
      <c r="P112" s="12" t="s">
        <v>262</v>
      </c>
      <c r="Q112" s="8"/>
    </row>
    <row r="113" spans="1:19" x14ac:dyDescent="0.25">
      <c r="A113" s="2">
        <v>3204010010</v>
      </c>
      <c r="B113" s="2" t="s">
        <v>110</v>
      </c>
      <c r="C113" s="7"/>
      <c r="D113" s="7"/>
      <c r="E113" s="5">
        <f t="shared" si="14"/>
        <v>0</v>
      </c>
      <c r="F113" s="7">
        <v>226284.79</v>
      </c>
      <c r="G113" s="7">
        <v>0</v>
      </c>
      <c r="H113" s="5">
        <f t="shared" si="15"/>
        <v>226284.79</v>
      </c>
      <c r="I113" s="7"/>
      <c r="J113" s="5">
        <f t="shared" si="12"/>
        <v>226284.79</v>
      </c>
      <c r="K113" s="8"/>
      <c r="L113" s="6">
        <f t="shared" si="13"/>
        <v>226284.79</v>
      </c>
      <c r="M113" s="6" t="s">
        <v>253</v>
      </c>
      <c r="N113" s="8" t="s">
        <v>216</v>
      </c>
      <c r="O113" s="12" t="s">
        <v>218</v>
      </c>
      <c r="P113" s="12" t="s">
        <v>262</v>
      </c>
      <c r="Q113" s="8"/>
    </row>
    <row r="114" spans="1:19" x14ac:dyDescent="0.25">
      <c r="A114" s="2">
        <v>3204010011</v>
      </c>
      <c r="B114" s="2" t="s">
        <v>111</v>
      </c>
      <c r="C114" s="7"/>
      <c r="D114" s="7"/>
      <c r="E114" s="5">
        <f t="shared" si="14"/>
        <v>0</v>
      </c>
      <c r="F114" s="7">
        <v>81089.61</v>
      </c>
      <c r="G114" s="7">
        <v>1389.86</v>
      </c>
      <c r="H114" s="5">
        <f t="shared" si="15"/>
        <v>79699.75</v>
      </c>
      <c r="I114" s="7"/>
      <c r="J114" s="5">
        <f t="shared" si="12"/>
        <v>79699.75</v>
      </c>
      <c r="K114" s="8"/>
      <c r="L114" s="6">
        <f t="shared" si="13"/>
        <v>79699.75</v>
      </c>
      <c r="M114" s="6" t="s">
        <v>253</v>
      </c>
      <c r="N114" s="8" t="s">
        <v>216</v>
      </c>
      <c r="O114" s="12" t="s">
        <v>219</v>
      </c>
      <c r="P114" s="12" t="s">
        <v>262</v>
      </c>
      <c r="Q114" s="8"/>
    </row>
    <row r="115" spans="1:19" x14ac:dyDescent="0.25">
      <c r="A115" s="2">
        <v>3204010012</v>
      </c>
      <c r="B115" s="2" t="s">
        <v>89</v>
      </c>
      <c r="C115" s="7"/>
      <c r="D115" s="7"/>
      <c r="E115" s="5">
        <f t="shared" si="14"/>
        <v>0</v>
      </c>
      <c r="F115" s="7">
        <v>1605577.68</v>
      </c>
      <c r="G115" s="7">
        <v>71781.64</v>
      </c>
      <c r="H115" s="5">
        <f t="shared" si="15"/>
        <v>1533796.04</v>
      </c>
      <c r="I115" s="7"/>
      <c r="J115" s="5">
        <f t="shared" si="12"/>
        <v>1533796.04</v>
      </c>
      <c r="K115" s="8"/>
      <c r="L115" s="6">
        <f t="shared" si="13"/>
        <v>1533796.04</v>
      </c>
      <c r="M115" s="6" t="s">
        <v>253</v>
      </c>
      <c r="N115" s="8" t="s">
        <v>216</v>
      </c>
      <c r="O115" s="12" t="s">
        <v>219</v>
      </c>
      <c r="P115" s="12" t="s">
        <v>262</v>
      </c>
      <c r="Q115" s="8"/>
    </row>
    <row r="116" spans="1:19" x14ac:dyDescent="0.25">
      <c r="A116" s="2">
        <v>3204010013</v>
      </c>
      <c r="B116" s="2" t="s">
        <v>90</v>
      </c>
      <c r="C116" s="7"/>
      <c r="D116" s="7"/>
      <c r="E116" s="5">
        <f t="shared" si="14"/>
        <v>0</v>
      </c>
      <c r="F116" s="7">
        <v>1670539.48</v>
      </c>
      <c r="G116" s="7">
        <v>2837.07</v>
      </c>
      <c r="H116" s="5">
        <f t="shared" si="15"/>
        <v>1667702.41</v>
      </c>
      <c r="I116" s="7"/>
      <c r="J116" s="5">
        <f t="shared" si="12"/>
        <v>1667702.41</v>
      </c>
      <c r="K116" s="8"/>
      <c r="L116" s="6">
        <f t="shared" si="13"/>
        <v>1667702.41</v>
      </c>
      <c r="M116" s="6" t="s">
        <v>253</v>
      </c>
      <c r="N116" s="8" t="s">
        <v>216</v>
      </c>
      <c r="O116" s="12" t="s">
        <v>219</v>
      </c>
      <c r="P116" s="12" t="s">
        <v>262</v>
      </c>
      <c r="Q116" s="8"/>
    </row>
    <row r="117" spans="1:19" x14ac:dyDescent="0.25">
      <c r="A117" s="2">
        <v>3204010014</v>
      </c>
      <c r="B117" s="2" t="s">
        <v>112</v>
      </c>
      <c r="C117" s="7"/>
      <c r="D117" s="7"/>
      <c r="E117" s="5">
        <f t="shared" si="14"/>
        <v>0</v>
      </c>
      <c r="F117" s="7">
        <v>570463.29</v>
      </c>
      <c r="G117" s="7">
        <v>66110.06</v>
      </c>
      <c r="H117" s="5">
        <f t="shared" si="15"/>
        <v>504353.23000000004</v>
      </c>
      <c r="I117" s="7"/>
      <c r="J117" s="5">
        <f t="shared" si="12"/>
        <v>504353.23000000004</v>
      </c>
      <c r="K117" s="8"/>
      <c r="L117" s="6">
        <f t="shared" si="13"/>
        <v>504353.23000000004</v>
      </c>
      <c r="M117" s="6" t="s">
        <v>253</v>
      </c>
      <c r="N117" s="8" t="s">
        <v>216</v>
      </c>
      <c r="O117" s="12" t="s">
        <v>219</v>
      </c>
      <c r="P117" s="12" t="s">
        <v>262</v>
      </c>
      <c r="Q117" s="8"/>
      <c r="R117" s="11" t="s">
        <v>229</v>
      </c>
    </row>
    <row r="118" spans="1:19" x14ac:dyDescent="0.25">
      <c r="A118" s="2">
        <v>3204010015</v>
      </c>
      <c r="B118" s="2" t="s">
        <v>113</v>
      </c>
      <c r="C118" s="7"/>
      <c r="D118" s="7"/>
      <c r="E118" s="5">
        <f t="shared" si="14"/>
        <v>0</v>
      </c>
      <c r="F118" s="7">
        <v>272721.21000000002</v>
      </c>
      <c r="G118" s="7">
        <v>0</v>
      </c>
      <c r="H118" s="5">
        <f t="shared" si="15"/>
        <v>272721.21000000002</v>
      </c>
      <c r="I118" s="7"/>
      <c r="J118" s="5">
        <f t="shared" si="12"/>
        <v>272721.21000000002</v>
      </c>
      <c r="K118" s="8"/>
      <c r="L118" s="6">
        <f t="shared" si="13"/>
        <v>272721.21000000002</v>
      </c>
      <c r="M118" s="6" t="s">
        <v>253</v>
      </c>
      <c r="N118" s="8" t="s">
        <v>216</v>
      </c>
      <c r="O118" s="12" t="s">
        <v>218</v>
      </c>
      <c r="P118" s="12" t="s">
        <v>262</v>
      </c>
      <c r="Q118" s="8"/>
    </row>
    <row r="119" spans="1:19" x14ac:dyDescent="0.25">
      <c r="A119" s="2">
        <v>3204010016</v>
      </c>
      <c r="B119" s="2" t="s">
        <v>114</v>
      </c>
      <c r="C119" s="7"/>
      <c r="D119" s="7"/>
      <c r="E119" s="5">
        <f t="shared" si="14"/>
        <v>0</v>
      </c>
      <c r="F119" s="7">
        <v>8822255.4100000001</v>
      </c>
      <c r="G119" s="7">
        <v>469092.91</v>
      </c>
      <c r="H119" s="5">
        <f t="shared" si="15"/>
        <v>8353162.5</v>
      </c>
      <c r="I119" s="7"/>
      <c r="J119" s="5">
        <f t="shared" si="12"/>
        <v>8353162.5</v>
      </c>
      <c r="K119" s="8"/>
      <c r="L119" s="6">
        <f t="shared" si="13"/>
        <v>8353162.5</v>
      </c>
      <c r="M119" s="6" t="s">
        <v>253</v>
      </c>
      <c r="N119" s="8" t="s">
        <v>216</v>
      </c>
      <c r="O119" s="12" t="s">
        <v>221</v>
      </c>
      <c r="P119" s="12" t="s">
        <v>262</v>
      </c>
      <c r="Q119" s="8"/>
    </row>
    <row r="120" spans="1:19" x14ac:dyDescent="0.25">
      <c r="A120" s="2">
        <v>3204010017</v>
      </c>
      <c r="B120" s="2" t="s">
        <v>115</v>
      </c>
      <c r="C120" s="7"/>
      <c r="D120" s="7"/>
      <c r="E120" s="5">
        <f t="shared" si="14"/>
        <v>0</v>
      </c>
      <c r="F120" s="7">
        <v>2476723.27</v>
      </c>
      <c r="G120" s="7">
        <v>309337</v>
      </c>
      <c r="H120" s="5">
        <f t="shared" si="15"/>
        <v>2167386.27</v>
      </c>
      <c r="I120" s="7"/>
      <c r="J120" s="5">
        <f t="shared" si="12"/>
        <v>2167386.27</v>
      </c>
      <c r="K120" s="8"/>
      <c r="L120" s="6">
        <f t="shared" si="13"/>
        <v>2167386.27</v>
      </c>
      <c r="M120" s="6" t="s">
        <v>253</v>
      </c>
      <c r="N120" s="8" t="s">
        <v>216</v>
      </c>
      <c r="O120" s="12" t="s">
        <v>221</v>
      </c>
      <c r="P120" s="12" t="s">
        <v>262</v>
      </c>
      <c r="Q120" s="8"/>
    </row>
    <row r="121" spans="1:19" x14ac:dyDescent="0.25">
      <c r="A121" s="2">
        <v>3204010018</v>
      </c>
      <c r="B121" s="2" t="s">
        <v>116</v>
      </c>
      <c r="C121" s="7"/>
      <c r="D121" s="7"/>
      <c r="E121" s="5">
        <f t="shared" si="14"/>
        <v>0</v>
      </c>
      <c r="F121" s="7">
        <v>2337905.63</v>
      </c>
      <c r="G121" s="7">
        <v>177378.85</v>
      </c>
      <c r="H121" s="5">
        <f t="shared" si="15"/>
        <v>2160526.7799999998</v>
      </c>
      <c r="I121" s="7"/>
      <c r="J121" s="5">
        <f t="shared" si="12"/>
        <v>2160526.7799999998</v>
      </c>
      <c r="K121" s="8"/>
      <c r="L121" s="6">
        <f t="shared" si="13"/>
        <v>2160526.7799999998</v>
      </c>
      <c r="M121" s="6" t="s">
        <v>253</v>
      </c>
      <c r="N121" s="8" t="s">
        <v>216</v>
      </c>
      <c r="O121" s="12" t="s">
        <v>222</v>
      </c>
      <c r="P121" s="12" t="s">
        <v>262</v>
      </c>
      <c r="Q121" s="8"/>
    </row>
    <row r="122" spans="1:19" x14ac:dyDescent="0.25">
      <c r="A122" s="2">
        <v>3204010019</v>
      </c>
      <c r="B122" s="2" t="s">
        <v>117</v>
      </c>
      <c r="C122" s="7"/>
      <c r="D122" s="7"/>
      <c r="E122" s="5">
        <f t="shared" si="14"/>
        <v>0</v>
      </c>
      <c r="F122" s="7">
        <v>2365994.66</v>
      </c>
      <c r="G122" s="7">
        <v>41600</v>
      </c>
      <c r="H122" s="5">
        <f t="shared" si="15"/>
        <v>2324394.66</v>
      </c>
      <c r="I122" s="7"/>
      <c r="J122" s="5">
        <f t="shared" si="12"/>
        <v>2324394.66</v>
      </c>
      <c r="K122" s="8"/>
      <c r="L122" s="6">
        <f t="shared" si="13"/>
        <v>2324394.66</v>
      </c>
      <c r="M122" s="6" t="s">
        <v>253</v>
      </c>
      <c r="N122" s="8" t="s">
        <v>216</v>
      </c>
      <c r="O122" s="12" t="s">
        <v>222</v>
      </c>
      <c r="P122" s="12" t="s">
        <v>262</v>
      </c>
      <c r="Q122" s="8"/>
    </row>
    <row r="123" spans="1:19" x14ac:dyDescent="0.25">
      <c r="A123" s="2">
        <v>3204010020</v>
      </c>
      <c r="B123" s="2" t="s">
        <v>118</v>
      </c>
      <c r="C123" s="7"/>
      <c r="D123" s="7"/>
      <c r="E123" s="5">
        <f t="shared" si="14"/>
        <v>0</v>
      </c>
      <c r="F123" s="7">
        <v>140807.94</v>
      </c>
      <c r="G123" s="7">
        <v>0</v>
      </c>
      <c r="H123" s="5">
        <f t="shared" si="15"/>
        <v>140807.94</v>
      </c>
      <c r="I123" s="7"/>
      <c r="J123" s="5">
        <f t="shared" si="12"/>
        <v>140807.94</v>
      </c>
      <c r="K123" s="8"/>
      <c r="L123" s="6">
        <f t="shared" si="13"/>
        <v>140807.94</v>
      </c>
      <c r="M123" s="6" t="s">
        <v>253</v>
      </c>
      <c r="N123" s="8" t="s">
        <v>216</v>
      </c>
      <c r="O123" s="12" t="s">
        <v>218</v>
      </c>
      <c r="P123" s="12" t="s">
        <v>262</v>
      </c>
      <c r="Q123" s="8"/>
    </row>
    <row r="124" spans="1:19" x14ac:dyDescent="0.25">
      <c r="A124" s="2">
        <v>3204010021</v>
      </c>
      <c r="B124" s="2" t="s">
        <v>100</v>
      </c>
      <c r="C124" s="7"/>
      <c r="D124" s="7"/>
      <c r="E124" s="5">
        <f t="shared" si="14"/>
        <v>0</v>
      </c>
      <c r="F124" s="7">
        <v>1995611.09</v>
      </c>
      <c r="G124" s="7">
        <v>6731.07</v>
      </c>
      <c r="H124" s="5">
        <f t="shared" si="15"/>
        <v>1988880.02</v>
      </c>
      <c r="I124" s="7"/>
      <c r="J124" s="5">
        <f t="shared" si="12"/>
        <v>1988880.02</v>
      </c>
      <c r="K124" s="8"/>
      <c r="L124" s="6">
        <f t="shared" si="13"/>
        <v>1988880.02</v>
      </c>
      <c r="M124" s="6" t="s">
        <v>253</v>
      </c>
      <c r="N124" s="8" t="s">
        <v>216</v>
      </c>
      <c r="O124" s="12" t="s">
        <v>218</v>
      </c>
      <c r="P124" s="12" t="s">
        <v>262</v>
      </c>
      <c r="Q124" s="8"/>
      <c r="R124" s="8"/>
      <c r="S124" s="11" t="s">
        <v>232</v>
      </c>
    </row>
    <row r="125" spans="1:19" x14ac:dyDescent="0.25">
      <c r="A125" s="2">
        <v>3204010022</v>
      </c>
      <c r="B125" s="2" t="s">
        <v>106</v>
      </c>
      <c r="C125" s="7"/>
      <c r="D125" s="7"/>
      <c r="E125" s="5">
        <f t="shared" si="14"/>
        <v>0</v>
      </c>
      <c r="F125" s="7">
        <v>0</v>
      </c>
      <c r="G125" s="7">
        <v>8591.6</v>
      </c>
      <c r="H125" s="7"/>
      <c r="I125" s="7">
        <f>-E125+G125-F125</f>
        <v>8591.6</v>
      </c>
      <c r="J125" s="5">
        <f t="shared" si="12"/>
        <v>-8591.6</v>
      </c>
      <c r="K125" s="8"/>
      <c r="L125" s="6">
        <f t="shared" si="13"/>
        <v>-8591.6</v>
      </c>
      <c r="M125" s="6" t="s">
        <v>253</v>
      </c>
      <c r="N125" s="8" t="s">
        <v>216</v>
      </c>
      <c r="O125" s="12" t="s">
        <v>218</v>
      </c>
      <c r="P125" s="12" t="s">
        <v>256</v>
      </c>
      <c r="Q125" s="8" t="s">
        <v>257</v>
      </c>
    </row>
    <row r="126" spans="1:19" x14ac:dyDescent="0.25">
      <c r="A126" s="2">
        <v>3204010023</v>
      </c>
      <c r="B126" s="2" t="s">
        <v>119</v>
      </c>
      <c r="C126" s="7"/>
      <c r="D126" s="7"/>
      <c r="E126" s="5">
        <f t="shared" si="14"/>
        <v>0</v>
      </c>
      <c r="F126" s="7">
        <v>17364175.239999998</v>
      </c>
      <c r="G126" s="7">
        <v>1366652.04</v>
      </c>
      <c r="H126" s="5">
        <f>E126+F126-G126</f>
        <v>15997523.199999999</v>
      </c>
      <c r="I126" s="7"/>
      <c r="J126" s="5">
        <f t="shared" si="12"/>
        <v>15997523.199999999</v>
      </c>
      <c r="K126" s="8"/>
      <c r="L126" s="6">
        <f t="shared" si="13"/>
        <v>15997523.199999999</v>
      </c>
      <c r="M126" s="6" t="s">
        <v>253</v>
      </c>
      <c r="N126" s="8" t="s">
        <v>216</v>
      </c>
      <c r="O126" s="12" t="s">
        <v>221</v>
      </c>
      <c r="P126" s="12" t="s">
        <v>262</v>
      </c>
      <c r="Q126" s="8"/>
    </row>
    <row r="127" spans="1:19" x14ac:dyDescent="0.25">
      <c r="A127" s="2">
        <v>3204010024</v>
      </c>
      <c r="B127" s="2" t="s">
        <v>120</v>
      </c>
      <c r="C127" s="7"/>
      <c r="D127" s="7"/>
      <c r="E127" s="5">
        <f t="shared" si="14"/>
        <v>0</v>
      </c>
      <c r="F127" s="7">
        <v>3017107.73</v>
      </c>
      <c r="G127" s="7">
        <v>413072.14</v>
      </c>
      <c r="H127" s="5">
        <f>E127+F127-G127</f>
        <v>2604035.59</v>
      </c>
      <c r="I127" s="7"/>
      <c r="J127" s="5">
        <f t="shared" si="12"/>
        <v>2604035.59</v>
      </c>
      <c r="K127" s="8"/>
      <c r="L127" s="6">
        <f t="shared" si="13"/>
        <v>2604035.59</v>
      </c>
      <c r="M127" s="6" t="s">
        <v>253</v>
      </c>
      <c r="N127" s="8" t="s">
        <v>216</v>
      </c>
      <c r="O127" s="12" t="s">
        <v>221</v>
      </c>
      <c r="P127" s="12" t="s">
        <v>262</v>
      </c>
      <c r="Q127" s="8"/>
    </row>
    <row r="128" spans="1:19" x14ac:dyDescent="0.25">
      <c r="A128" s="2">
        <v>3204010025</v>
      </c>
      <c r="B128" s="2" t="s">
        <v>121</v>
      </c>
      <c r="C128" s="7"/>
      <c r="D128" s="7"/>
      <c r="E128" s="5">
        <f t="shared" si="14"/>
        <v>0</v>
      </c>
      <c r="F128" s="7">
        <v>29997.41</v>
      </c>
      <c r="G128" s="7">
        <v>0</v>
      </c>
      <c r="H128" s="5">
        <f>E128+F128-G128</f>
        <v>29997.41</v>
      </c>
      <c r="I128" s="7"/>
      <c r="J128" s="5">
        <f t="shared" si="12"/>
        <v>29997.41</v>
      </c>
      <c r="K128" s="8"/>
      <c r="L128" s="6">
        <f t="shared" si="13"/>
        <v>29997.41</v>
      </c>
      <c r="M128" s="6" t="s">
        <v>253</v>
      </c>
      <c r="N128" s="8" t="s">
        <v>216</v>
      </c>
      <c r="O128" s="12" t="s">
        <v>221</v>
      </c>
      <c r="P128" s="12" t="s">
        <v>262</v>
      </c>
      <c r="Q128" s="8"/>
    </row>
    <row r="129" spans="1:17" x14ac:dyDescent="0.25">
      <c r="A129" s="2">
        <v>3204010026</v>
      </c>
      <c r="B129" s="2" t="s">
        <v>122</v>
      </c>
      <c r="C129" s="7"/>
      <c r="D129" s="7"/>
      <c r="E129" s="5">
        <f t="shared" si="14"/>
        <v>0</v>
      </c>
      <c r="F129" s="7">
        <v>2290044.6</v>
      </c>
      <c r="G129" s="7">
        <v>97833</v>
      </c>
      <c r="H129" s="5">
        <f>E129+F129-G129</f>
        <v>2192211.6</v>
      </c>
      <c r="I129" s="7"/>
      <c r="J129" s="5">
        <f t="shared" si="12"/>
        <v>2192211.6</v>
      </c>
      <c r="K129" s="8">
        <v>-423995.27</v>
      </c>
      <c r="L129" s="6">
        <f t="shared" si="13"/>
        <v>1768216.33</v>
      </c>
      <c r="M129" s="6" t="s">
        <v>253</v>
      </c>
      <c r="N129" s="8" t="s">
        <v>216</v>
      </c>
      <c r="O129" s="12" t="s">
        <v>220</v>
      </c>
      <c r="P129" s="12" t="s">
        <v>256</v>
      </c>
      <c r="Q129" s="8" t="s">
        <v>260</v>
      </c>
    </row>
    <row r="130" spans="1:17" ht="30" x14ac:dyDescent="0.25">
      <c r="A130" s="2" t="s">
        <v>271</v>
      </c>
      <c r="B130" s="2" t="s">
        <v>122</v>
      </c>
      <c r="C130" s="7"/>
      <c r="D130" s="7"/>
      <c r="E130" s="5"/>
      <c r="F130" s="7"/>
      <c r="G130" s="7"/>
      <c r="H130" s="5"/>
      <c r="I130" s="7"/>
      <c r="J130" s="5"/>
      <c r="K130" s="8">
        <v>423995.26999999996</v>
      </c>
      <c r="L130" s="6">
        <f t="shared" si="13"/>
        <v>423995.26999999996</v>
      </c>
      <c r="M130" s="6" t="s">
        <v>253</v>
      </c>
      <c r="N130" s="8" t="s">
        <v>216</v>
      </c>
      <c r="O130" s="12" t="s">
        <v>220</v>
      </c>
      <c r="P130" s="12" t="s">
        <v>262</v>
      </c>
      <c r="Q130" s="8"/>
    </row>
    <row r="131" spans="1:17" x14ac:dyDescent="0.25">
      <c r="A131" s="2">
        <v>3204010027</v>
      </c>
      <c r="B131" s="2" t="s">
        <v>123</v>
      </c>
      <c r="C131" s="7"/>
      <c r="D131" s="7"/>
      <c r="E131" s="5">
        <f t="shared" ref="E131:E194" si="16">C131-D131</f>
        <v>0</v>
      </c>
      <c r="F131" s="7">
        <v>946.57</v>
      </c>
      <c r="G131" s="7">
        <v>0</v>
      </c>
      <c r="H131" s="5">
        <f t="shared" ref="H131:H166" si="17">E131+F131-G131</f>
        <v>946.57</v>
      </c>
      <c r="I131" s="7"/>
      <c r="J131" s="5">
        <f t="shared" ref="J131:J194" si="18">H131-I131</f>
        <v>946.57</v>
      </c>
      <c r="K131" s="8"/>
      <c r="L131" s="6">
        <f t="shared" si="13"/>
        <v>946.57</v>
      </c>
      <c r="M131" s="6" t="s">
        <v>253</v>
      </c>
      <c r="N131" s="8" t="s">
        <v>216</v>
      </c>
      <c r="O131" s="12" t="s">
        <v>218</v>
      </c>
      <c r="P131" s="12" t="s">
        <v>262</v>
      </c>
      <c r="Q131" s="8"/>
    </row>
    <row r="132" spans="1:17" ht="30" x14ac:dyDescent="0.25">
      <c r="A132" s="2">
        <v>3204010028</v>
      </c>
      <c r="B132" s="2" t="s">
        <v>124</v>
      </c>
      <c r="C132" s="7"/>
      <c r="D132" s="7"/>
      <c r="E132" s="5">
        <f t="shared" si="16"/>
        <v>0</v>
      </c>
      <c r="F132" s="7">
        <v>58274885.810000002</v>
      </c>
      <c r="G132" s="7">
        <v>9131375.4499999993</v>
      </c>
      <c r="H132" s="5">
        <f t="shared" si="17"/>
        <v>49143510.359999999</v>
      </c>
      <c r="I132" s="7"/>
      <c r="J132" s="5">
        <f t="shared" si="18"/>
        <v>49143510.359999999</v>
      </c>
      <c r="K132" s="8"/>
      <c r="L132" s="6">
        <f t="shared" si="13"/>
        <v>49143510.359999999</v>
      </c>
      <c r="M132" s="6" t="s">
        <v>253</v>
      </c>
      <c r="N132" s="8" t="s">
        <v>216</v>
      </c>
      <c r="O132" s="12" t="s">
        <v>223</v>
      </c>
      <c r="P132" s="12" t="s">
        <v>265</v>
      </c>
      <c r="Q132" s="8"/>
    </row>
    <row r="133" spans="1:17" x14ac:dyDescent="0.25">
      <c r="A133" s="2">
        <v>3204010029</v>
      </c>
      <c r="B133" s="2" t="s">
        <v>125</v>
      </c>
      <c r="C133" s="7"/>
      <c r="D133" s="7"/>
      <c r="E133" s="5">
        <f t="shared" si="16"/>
        <v>0</v>
      </c>
      <c r="F133" s="7">
        <v>5563411.25</v>
      </c>
      <c r="G133" s="7">
        <v>479139.52</v>
      </c>
      <c r="H133" s="5">
        <f t="shared" si="17"/>
        <v>5084271.7300000004</v>
      </c>
      <c r="I133" s="7"/>
      <c r="J133" s="5">
        <f t="shared" si="18"/>
        <v>5084271.7300000004</v>
      </c>
      <c r="K133" s="8"/>
      <c r="L133" s="6">
        <f t="shared" si="13"/>
        <v>5084271.7300000004</v>
      </c>
      <c r="M133" s="6" t="s">
        <v>253</v>
      </c>
      <c r="N133" s="8" t="s">
        <v>216</v>
      </c>
      <c r="O133" s="12" t="s">
        <v>218</v>
      </c>
      <c r="P133" s="12" t="s">
        <v>262</v>
      </c>
      <c r="Q133" s="8"/>
    </row>
    <row r="134" spans="1:17" x14ac:dyDescent="0.25">
      <c r="A134" s="2">
        <v>3204010030</v>
      </c>
      <c r="B134" s="2" t="s">
        <v>126</v>
      </c>
      <c r="C134" s="7"/>
      <c r="D134" s="7"/>
      <c r="E134" s="5">
        <f t="shared" si="16"/>
        <v>0</v>
      </c>
      <c r="F134" s="7">
        <v>22354194.91</v>
      </c>
      <c r="G134" s="7">
        <v>18018.939999999999</v>
      </c>
      <c r="H134" s="5">
        <f t="shared" si="17"/>
        <v>22336175.969999999</v>
      </c>
      <c r="I134" s="7"/>
      <c r="J134" s="5">
        <f t="shared" si="18"/>
        <v>22336175.969999999</v>
      </c>
      <c r="K134" s="8"/>
      <c r="L134" s="6">
        <f t="shared" si="13"/>
        <v>22336175.969999999</v>
      </c>
      <c r="M134" s="6" t="s">
        <v>253</v>
      </c>
      <c r="N134" s="8" t="s">
        <v>216</v>
      </c>
      <c r="O134" s="12" t="s">
        <v>220</v>
      </c>
      <c r="P134" s="12" t="s">
        <v>256</v>
      </c>
      <c r="Q134" s="8" t="s">
        <v>269</v>
      </c>
    </row>
    <row r="135" spans="1:17" x14ac:dyDescent="0.25">
      <c r="A135" s="2">
        <v>3204010031</v>
      </c>
      <c r="B135" s="2" t="s">
        <v>127</v>
      </c>
      <c r="C135" s="7"/>
      <c r="D135" s="7"/>
      <c r="E135" s="5">
        <f t="shared" si="16"/>
        <v>0</v>
      </c>
      <c r="F135" s="7">
        <v>2304169.09</v>
      </c>
      <c r="G135" s="7">
        <v>0</v>
      </c>
      <c r="H135" s="5">
        <f t="shared" si="17"/>
        <v>2304169.09</v>
      </c>
      <c r="I135" s="7"/>
      <c r="J135" s="5">
        <f t="shared" si="18"/>
        <v>2304169.09</v>
      </c>
      <c r="K135" s="8"/>
      <c r="L135" s="6">
        <f t="shared" si="13"/>
        <v>2304169.09</v>
      </c>
      <c r="M135" s="6" t="s">
        <v>253</v>
      </c>
      <c r="N135" s="8" t="s">
        <v>216</v>
      </c>
      <c r="O135" s="12" t="s">
        <v>223</v>
      </c>
      <c r="P135" s="12" t="s">
        <v>265</v>
      </c>
      <c r="Q135" s="8"/>
    </row>
    <row r="136" spans="1:17" ht="30" x14ac:dyDescent="0.25">
      <c r="A136" s="2">
        <v>3204010032</v>
      </c>
      <c r="B136" s="2" t="s">
        <v>128</v>
      </c>
      <c r="C136" s="7"/>
      <c r="D136" s="7"/>
      <c r="E136" s="5">
        <f t="shared" si="16"/>
        <v>0</v>
      </c>
      <c r="F136" s="7">
        <v>5357817.7</v>
      </c>
      <c r="G136" s="7">
        <v>91750.31</v>
      </c>
      <c r="H136" s="5">
        <f t="shared" si="17"/>
        <v>5266067.3900000006</v>
      </c>
      <c r="I136" s="7"/>
      <c r="J136" s="5">
        <f t="shared" si="18"/>
        <v>5266067.3900000006</v>
      </c>
      <c r="K136" s="8"/>
      <c r="L136" s="6">
        <f t="shared" si="13"/>
        <v>5266067.3900000006</v>
      </c>
      <c r="M136" s="6" t="s">
        <v>253</v>
      </c>
      <c r="N136" s="8" t="s">
        <v>216</v>
      </c>
      <c r="O136" s="12" t="s">
        <v>218</v>
      </c>
      <c r="P136" s="12" t="s">
        <v>267</v>
      </c>
      <c r="Q136" s="8"/>
    </row>
    <row r="137" spans="1:17" x14ac:dyDescent="0.25">
      <c r="A137" s="2">
        <v>3204010034</v>
      </c>
      <c r="B137" s="2" t="s">
        <v>129</v>
      </c>
      <c r="C137" s="7"/>
      <c r="D137" s="7"/>
      <c r="E137" s="5">
        <f t="shared" si="16"/>
        <v>0</v>
      </c>
      <c r="F137" s="7">
        <v>1521269.65</v>
      </c>
      <c r="G137" s="7">
        <v>30571.1</v>
      </c>
      <c r="H137" s="5">
        <f t="shared" si="17"/>
        <v>1490698.5499999998</v>
      </c>
      <c r="I137" s="7"/>
      <c r="J137" s="5">
        <f t="shared" si="18"/>
        <v>1490698.5499999998</v>
      </c>
      <c r="K137" s="8"/>
      <c r="L137" s="6">
        <f t="shared" si="13"/>
        <v>1490698.5499999998</v>
      </c>
      <c r="M137" s="6" t="s">
        <v>253</v>
      </c>
      <c r="N137" s="8" t="s">
        <v>216</v>
      </c>
      <c r="O137" s="12" t="s">
        <v>221</v>
      </c>
      <c r="P137" s="12" t="s">
        <v>262</v>
      </c>
      <c r="Q137" s="8"/>
    </row>
    <row r="138" spans="1:17" x14ac:dyDescent="0.25">
      <c r="A138" s="2">
        <v>3204010035</v>
      </c>
      <c r="B138" s="2" t="s">
        <v>130</v>
      </c>
      <c r="C138" s="7"/>
      <c r="D138" s="7"/>
      <c r="E138" s="5">
        <f t="shared" si="16"/>
        <v>0</v>
      </c>
      <c r="F138" s="7">
        <v>1718981.44</v>
      </c>
      <c r="G138" s="7">
        <v>29789.279999999999</v>
      </c>
      <c r="H138" s="5">
        <f t="shared" si="17"/>
        <v>1689192.16</v>
      </c>
      <c r="I138" s="7"/>
      <c r="J138" s="5">
        <f t="shared" si="18"/>
        <v>1689192.16</v>
      </c>
      <c r="K138" s="8"/>
      <c r="L138" s="6">
        <f t="shared" si="13"/>
        <v>1689192.16</v>
      </c>
      <c r="M138" s="6" t="s">
        <v>253</v>
      </c>
      <c r="N138" s="8" t="s">
        <v>216</v>
      </c>
      <c r="O138" s="12" t="s">
        <v>221</v>
      </c>
      <c r="P138" s="12" t="s">
        <v>262</v>
      </c>
      <c r="Q138" s="8"/>
    </row>
    <row r="139" spans="1:17" x14ac:dyDescent="0.25">
      <c r="A139" s="2">
        <v>3204010036</v>
      </c>
      <c r="B139" s="2" t="s">
        <v>97</v>
      </c>
      <c r="C139" s="7"/>
      <c r="D139" s="7"/>
      <c r="E139" s="5">
        <f t="shared" si="16"/>
        <v>0</v>
      </c>
      <c r="F139" s="7">
        <v>392368.53</v>
      </c>
      <c r="G139" s="7">
        <v>24014.16</v>
      </c>
      <c r="H139" s="5">
        <f t="shared" si="17"/>
        <v>368354.37000000005</v>
      </c>
      <c r="I139" s="7"/>
      <c r="J139" s="5">
        <f t="shared" si="18"/>
        <v>368354.37000000005</v>
      </c>
      <c r="K139" s="8"/>
      <c r="L139" s="6">
        <f t="shared" si="13"/>
        <v>368354.37000000005</v>
      </c>
      <c r="M139" s="6" t="s">
        <v>253</v>
      </c>
      <c r="N139" s="8" t="s">
        <v>216</v>
      </c>
      <c r="O139" s="12" t="s">
        <v>217</v>
      </c>
      <c r="P139" s="12" t="s">
        <v>262</v>
      </c>
      <c r="Q139" s="8"/>
    </row>
    <row r="140" spans="1:17" x14ac:dyDescent="0.25">
      <c r="A140" s="2">
        <v>3204010037</v>
      </c>
      <c r="B140" s="2" t="s">
        <v>131</v>
      </c>
      <c r="C140" s="7"/>
      <c r="D140" s="7"/>
      <c r="E140" s="5">
        <f t="shared" si="16"/>
        <v>0</v>
      </c>
      <c r="F140" s="7">
        <v>52680.87</v>
      </c>
      <c r="G140" s="7">
        <v>0</v>
      </c>
      <c r="H140" s="5">
        <f t="shared" si="17"/>
        <v>52680.87</v>
      </c>
      <c r="I140" s="7"/>
      <c r="J140" s="5">
        <f t="shared" si="18"/>
        <v>52680.87</v>
      </c>
      <c r="K140" s="8"/>
      <c r="L140" s="6">
        <f t="shared" si="13"/>
        <v>52680.87</v>
      </c>
      <c r="M140" s="6" t="s">
        <v>253</v>
      </c>
      <c r="N140" s="8" t="s">
        <v>216</v>
      </c>
      <c r="O140" s="12" t="s">
        <v>221</v>
      </c>
      <c r="P140" s="12" t="s">
        <v>262</v>
      </c>
      <c r="Q140" s="8"/>
    </row>
    <row r="141" spans="1:17" x14ac:dyDescent="0.25">
      <c r="A141" s="2">
        <v>3204010038</v>
      </c>
      <c r="B141" s="2" t="s">
        <v>132</v>
      </c>
      <c r="C141" s="7"/>
      <c r="D141" s="7"/>
      <c r="E141" s="5">
        <f t="shared" si="16"/>
        <v>0</v>
      </c>
      <c r="F141" s="7">
        <v>433201.08</v>
      </c>
      <c r="G141" s="7">
        <v>0</v>
      </c>
      <c r="H141" s="5">
        <f t="shared" si="17"/>
        <v>433201.08</v>
      </c>
      <c r="I141" s="7"/>
      <c r="J141" s="5">
        <f t="shared" si="18"/>
        <v>433201.08</v>
      </c>
      <c r="K141" s="8"/>
      <c r="L141" s="6">
        <f t="shared" si="13"/>
        <v>433201.08</v>
      </c>
      <c r="M141" s="6" t="s">
        <v>253</v>
      </c>
      <c r="N141" s="8" t="s">
        <v>207</v>
      </c>
      <c r="O141" s="12" t="s">
        <v>243</v>
      </c>
      <c r="P141" s="12" t="s">
        <v>256</v>
      </c>
      <c r="Q141" s="8" t="s">
        <v>263</v>
      </c>
    </row>
    <row r="142" spans="1:17" x14ac:dyDescent="0.25">
      <c r="A142" s="2">
        <v>3204010040</v>
      </c>
      <c r="B142" s="2" t="s">
        <v>133</v>
      </c>
      <c r="C142" s="7"/>
      <c r="D142" s="7"/>
      <c r="E142" s="5">
        <f t="shared" si="16"/>
        <v>0</v>
      </c>
      <c r="F142" s="7">
        <v>6524.07</v>
      </c>
      <c r="G142" s="7">
        <v>70.73</v>
      </c>
      <c r="H142" s="5">
        <f t="shared" si="17"/>
        <v>6453.34</v>
      </c>
      <c r="I142" s="7"/>
      <c r="J142" s="5">
        <f t="shared" si="18"/>
        <v>6453.34</v>
      </c>
      <c r="K142" s="8"/>
      <c r="L142" s="6">
        <f t="shared" si="13"/>
        <v>6453.34</v>
      </c>
      <c r="M142" s="6" t="s">
        <v>253</v>
      </c>
      <c r="N142" s="8" t="s">
        <v>216</v>
      </c>
      <c r="O142" s="12" t="s">
        <v>218</v>
      </c>
      <c r="P142" s="12" t="s">
        <v>262</v>
      </c>
      <c r="Q142" s="8"/>
    </row>
    <row r="143" spans="1:17" x14ac:dyDescent="0.25">
      <c r="A143" s="2">
        <v>3204010042</v>
      </c>
      <c r="B143" s="2" t="s">
        <v>134</v>
      </c>
      <c r="C143" s="7"/>
      <c r="D143" s="7"/>
      <c r="E143" s="5">
        <f t="shared" si="16"/>
        <v>0</v>
      </c>
      <c r="F143" s="7">
        <v>6901.21</v>
      </c>
      <c r="G143" s="7">
        <v>0</v>
      </c>
      <c r="H143" s="5">
        <f t="shared" si="17"/>
        <v>6901.21</v>
      </c>
      <c r="I143" s="7"/>
      <c r="J143" s="5">
        <f t="shared" si="18"/>
        <v>6901.21</v>
      </c>
      <c r="K143" s="8"/>
      <c r="L143" s="6">
        <f t="shared" si="13"/>
        <v>6901.21</v>
      </c>
      <c r="M143" s="6" t="s">
        <v>253</v>
      </c>
      <c r="N143" s="8" t="s">
        <v>216</v>
      </c>
      <c r="O143" s="12" t="s">
        <v>221</v>
      </c>
      <c r="P143" s="12" t="s">
        <v>262</v>
      </c>
      <c r="Q143" s="8"/>
    </row>
    <row r="144" spans="1:17" x14ac:dyDescent="0.25">
      <c r="A144" s="2">
        <v>3204010043</v>
      </c>
      <c r="B144" s="2" t="s">
        <v>135</v>
      </c>
      <c r="C144" s="7"/>
      <c r="D144" s="7"/>
      <c r="E144" s="5">
        <f t="shared" si="16"/>
        <v>0</v>
      </c>
      <c r="F144" s="7">
        <v>1921102.47</v>
      </c>
      <c r="G144" s="7">
        <v>18600</v>
      </c>
      <c r="H144" s="5">
        <f t="shared" si="17"/>
        <v>1902502.47</v>
      </c>
      <c r="I144" s="7"/>
      <c r="J144" s="5">
        <f t="shared" si="18"/>
        <v>1902502.47</v>
      </c>
      <c r="K144" s="8"/>
      <c r="L144" s="6">
        <f t="shared" si="13"/>
        <v>1902502.47</v>
      </c>
      <c r="M144" s="6" t="s">
        <v>253</v>
      </c>
      <c r="N144" s="8" t="s">
        <v>216</v>
      </c>
      <c r="O144" s="12" t="s">
        <v>217</v>
      </c>
      <c r="P144" s="12" t="s">
        <v>262</v>
      </c>
      <c r="Q144" s="8"/>
    </row>
    <row r="145" spans="1:19" ht="30" x14ac:dyDescent="0.25">
      <c r="A145" s="2">
        <v>3204010045</v>
      </c>
      <c r="B145" s="2" t="s">
        <v>136</v>
      </c>
      <c r="C145" s="7"/>
      <c r="D145" s="7"/>
      <c r="E145" s="5">
        <f t="shared" si="16"/>
        <v>0</v>
      </c>
      <c r="F145" s="7">
        <v>1286.3900000000001</v>
      </c>
      <c r="G145" s="7">
        <v>0</v>
      </c>
      <c r="H145" s="5">
        <f t="shared" si="17"/>
        <v>1286.3900000000001</v>
      </c>
      <c r="I145" s="7"/>
      <c r="J145" s="5">
        <f t="shared" si="18"/>
        <v>1286.3900000000001</v>
      </c>
      <c r="K145" s="8"/>
      <c r="L145" s="6">
        <f t="shared" si="13"/>
        <v>1286.3900000000001</v>
      </c>
      <c r="M145" s="6" t="s">
        <v>253</v>
      </c>
      <c r="N145" s="8" t="s">
        <v>216</v>
      </c>
      <c r="O145" s="8" t="s">
        <v>224</v>
      </c>
      <c r="P145" s="12" t="s">
        <v>262</v>
      </c>
      <c r="Q145" s="8"/>
    </row>
    <row r="146" spans="1:19" x14ac:dyDescent="0.25">
      <c r="A146" s="2">
        <v>3204010047</v>
      </c>
      <c r="B146" s="2" t="s">
        <v>137</v>
      </c>
      <c r="C146" s="7"/>
      <c r="D146" s="7"/>
      <c r="E146" s="5">
        <f t="shared" si="16"/>
        <v>0</v>
      </c>
      <c r="F146" s="7">
        <v>246347.53</v>
      </c>
      <c r="G146" s="7">
        <v>18750</v>
      </c>
      <c r="H146" s="5">
        <f t="shared" si="17"/>
        <v>227597.53</v>
      </c>
      <c r="I146" s="7"/>
      <c r="J146" s="5">
        <f t="shared" si="18"/>
        <v>227597.53</v>
      </c>
      <c r="K146" s="8"/>
      <c r="L146" s="6">
        <f t="shared" si="13"/>
        <v>227597.53</v>
      </c>
      <c r="M146" s="6" t="s">
        <v>253</v>
      </c>
      <c r="N146" s="8" t="s">
        <v>216</v>
      </c>
      <c r="O146" s="12" t="s">
        <v>218</v>
      </c>
      <c r="P146" s="12" t="s">
        <v>262</v>
      </c>
      <c r="Q146" s="8"/>
    </row>
    <row r="147" spans="1:19" x14ac:dyDescent="0.25">
      <c r="A147" s="2">
        <v>3204010048</v>
      </c>
      <c r="B147" s="2" t="s">
        <v>138</v>
      </c>
      <c r="C147" s="7"/>
      <c r="D147" s="7"/>
      <c r="E147" s="5">
        <f t="shared" si="16"/>
        <v>0</v>
      </c>
      <c r="F147" s="7">
        <v>6439764.2000000002</v>
      </c>
      <c r="G147" s="7">
        <v>610384</v>
      </c>
      <c r="H147" s="5">
        <f t="shared" si="17"/>
        <v>5829380.2000000002</v>
      </c>
      <c r="I147" s="7"/>
      <c r="J147" s="5">
        <f t="shared" si="18"/>
        <v>5829380.2000000002</v>
      </c>
      <c r="K147" s="8">
        <f>-1524</f>
        <v>-1524</v>
      </c>
      <c r="L147" s="6">
        <f t="shared" si="13"/>
        <v>5827856.2000000002</v>
      </c>
      <c r="M147" s="6" t="s">
        <v>253</v>
      </c>
      <c r="N147" s="8" t="s">
        <v>216</v>
      </c>
      <c r="O147" s="12" t="s">
        <v>225</v>
      </c>
      <c r="P147" s="12" t="s">
        <v>268</v>
      </c>
      <c r="Q147" s="8"/>
    </row>
    <row r="148" spans="1:19" x14ac:dyDescent="0.25">
      <c r="A148" s="2">
        <v>3204010050</v>
      </c>
      <c r="B148" s="2" t="s">
        <v>139</v>
      </c>
      <c r="C148" s="7"/>
      <c r="D148" s="7"/>
      <c r="E148" s="5">
        <f t="shared" si="16"/>
        <v>0</v>
      </c>
      <c r="F148" s="7">
        <v>1766.12</v>
      </c>
      <c r="G148" s="7">
        <v>0</v>
      </c>
      <c r="H148" s="5">
        <f t="shared" si="17"/>
        <v>1766.12</v>
      </c>
      <c r="I148" s="7"/>
      <c r="J148" s="5">
        <f t="shared" si="18"/>
        <v>1766.12</v>
      </c>
      <c r="K148" s="8"/>
      <c r="L148" s="6">
        <f t="shared" si="13"/>
        <v>1766.12</v>
      </c>
      <c r="M148" s="6" t="s">
        <v>253</v>
      </c>
      <c r="N148" s="8" t="s">
        <v>216</v>
      </c>
      <c r="O148" s="12" t="s">
        <v>225</v>
      </c>
      <c r="P148" s="12" t="s">
        <v>268</v>
      </c>
      <c r="Q148" s="8"/>
    </row>
    <row r="149" spans="1:19" ht="30" x14ac:dyDescent="0.25">
      <c r="A149" s="2">
        <v>3204010051</v>
      </c>
      <c r="B149" s="2" t="s">
        <v>140</v>
      </c>
      <c r="C149" s="7"/>
      <c r="D149" s="7"/>
      <c r="E149" s="5">
        <f t="shared" si="16"/>
        <v>0</v>
      </c>
      <c r="F149" s="7">
        <v>2485691.5699999998</v>
      </c>
      <c r="G149" s="7">
        <v>406.87</v>
      </c>
      <c r="H149" s="5">
        <f t="shared" si="17"/>
        <v>2485284.6999999997</v>
      </c>
      <c r="I149" s="7"/>
      <c r="J149" s="5">
        <f t="shared" si="18"/>
        <v>2485284.6999999997</v>
      </c>
      <c r="K149" s="8"/>
      <c r="L149" s="6">
        <f t="shared" si="13"/>
        <v>2485284.6999999997</v>
      </c>
      <c r="M149" s="6" t="s">
        <v>253</v>
      </c>
      <c r="N149" s="8" t="s">
        <v>216</v>
      </c>
      <c r="O149" s="12" t="s">
        <v>225</v>
      </c>
      <c r="P149" s="12" t="s">
        <v>268</v>
      </c>
      <c r="Q149" s="8"/>
    </row>
    <row r="150" spans="1:19" x14ac:dyDescent="0.25">
      <c r="A150" s="2">
        <v>3204010053</v>
      </c>
      <c r="B150" s="2" t="s">
        <v>141</v>
      </c>
      <c r="C150" s="7"/>
      <c r="D150" s="7"/>
      <c r="E150" s="5">
        <f t="shared" si="16"/>
        <v>0</v>
      </c>
      <c r="F150" s="7">
        <v>15300.15</v>
      </c>
      <c r="G150" s="7">
        <v>0</v>
      </c>
      <c r="H150" s="5">
        <f t="shared" si="17"/>
        <v>15300.15</v>
      </c>
      <c r="I150" s="7"/>
      <c r="J150" s="5">
        <f t="shared" si="18"/>
        <v>15300.15</v>
      </c>
      <c r="K150" s="8"/>
      <c r="L150" s="6">
        <f t="shared" si="13"/>
        <v>15300.15</v>
      </c>
      <c r="M150" s="6" t="s">
        <v>253</v>
      </c>
      <c r="N150" s="8" t="s">
        <v>216</v>
      </c>
      <c r="O150" s="12" t="s">
        <v>218</v>
      </c>
      <c r="P150" s="15" t="s">
        <v>256</v>
      </c>
      <c r="Q150" s="4" t="s">
        <v>264</v>
      </c>
      <c r="R150" s="11" t="s">
        <v>234</v>
      </c>
    </row>
    <row r="151" spans="1:19" ht="30" x14ac:dyDescent="0.25">
      <c r="A151" s="2">
        <v>3204010054</v>
      </c>
      <c r="B151" s="2" t="s">
        <v>142</v>
      </c>
      <c r="C151" s="7"/>
      <c r="D151" s="7"/>
      <c r="E151" s="5">
        <f t="shared" si="16"/>
        <v>0</v>
      </c>
      <c r="F151" s="7">
        <v>37453890.259999998</v>
      </c>
      <c r="G151" s="7">
        <v>4646162.4400000004</v>
      </c>
      <c r="H151" s="5">
        <f t="shared" si="17"/>
        <v>32807727.819999997</v>
      </c>
      <c r="I151" s="7"/>
      <c r="J151" s="5">
        <f t="shared" si="18"/>
        <v>32807727.819999997</v>
      </c>
      <c r="K151" s="8">
        <v>-10976373</v>
      </c>
      <c r="L151" s="6">
        <f t="shared" si="13"/>
        <v>21831354.819999997</v>
      </c>
      <c r="M151" s="6" t="s">
        <v>253</v>
      </c>
      <c r="N151" s="8" t="s">
        <v>216</v>
      </c>
      <c r="O151" s="12" t="s">
        <v>228</v>
      </c>
      <c r="P151" s="12" t="s">
        <v>256</v>
      </c>
      <c r="Q151" s="8" t="s">
        <v>257</v>
      </c>
    </row>
    <row r="152" spans="1:19" x14ac:dyDescent="0.25">
      <c r="A152" s="2">
        <v>3204010055</v>
      </c>
      <c r="B152" s="2" t="s">
        <v>143</v>
      </c>
      <c r="C152" s="7"/>
      <c r="D152" s="7"/>
      <c r="E152" s="5">
        <f t="shared" si="16"/>
        <v>0</v>
      </c>
      <c r="F152" s="7">
        <v>1884.54</v>
      </c>
      <c r="G152" s="7">
        <v>0</v>
      </c>
      <c r="H152" s="5">
        <f t="shared" si="17"/>
        <v>1884.54</v>
      </c>
      <c r="I152" s="7"/>
      <c r="J152" s="5">
        <f t="shared" si="18"/>
        <v>1884.54</v>
      </c>
      <c r="K152" s="8"/>
      <c r="L152" s="6">
        <f t="shared" si="13"/>
        <v>1884.54</v>
      </c>
      <c r="M152" s="6" t="s">
        <v>253</v>
      </c>
      <c r="N152" s="8" t="s">
        <v>216</v>
      </c>
      <c r="O152" s="12" t="s">
        <v>218</v>
      </c>
      <c r="P152" s="12" t="s">
        <v>262</v>
      </c>
      <c r="Q152" s="8"/>
    </row>
    <row r="153" spans="1:19" ht="30" x14ac:dyDescent="0.25">
      <c r="A153" s="2">
        <v>3204010056</v>
      </c>
      <c r="B153" s="2" t="s">
        <v>144</v>
      </c>
      <c r="C153" s="7"/>
      <c r="D153" s="7"/>
      <c r="E153" s="5">
        <f t="shared" si="16"/>
        <v>0</v>
      </c>
      <c r="F153" s="7">
        <v>13514028.32</v>
      </c>
      <c r="G153" s="7">
        <v>91027.49</v>
      </c>
      <c r="H153" s="5">
        <f t="shared" si="17"/>
        <v>13423000.83</v>
      </c>
      <c r="I153" s="7"/>
      <c r="J153" s="5">
        <f t="shared" si="18"/>
        <v>13423000.83</v>
      </c>
      <c r="K153" s="8"/>
      <c r="L153" s="6">
        <f t="shared" si="13"/>
        <v>13423000.83</v>
      </c>
      <c r="M153" s="6" t="s">
        <v>253</v>
      </c>
      <c r="N153" s="8" t="s">
        <v>216</v>
      </c>
      <c r="O153" s="12" t="s">
        <v>226</v>
      </c>
      <c r="P153" s="12" t="s">
        <v>262</v>
      </c>
      <c r="Q153" s="8"/>
    </row>
    <row r="154" spans="1:19" x14ac:dyDescent="0.25">
      <c r="A154" s="2">
        <v>3204010057</v>
      </c>
      <c r="B154" s="2" t="s">
        <v>145</v>
      </c>
      <c r="C154" s="7"/>
      <c r="D154" s="7"/>
      <c r="E154" s="5">
        <f t="shared" si="16"/>
        <v>0</v>
      </c>
      <c r="F154" s="7">
        <v>7053348.4500000002</v>
      </c>
      <c r="G154" s="7">
        <v>3198342.12</v>
      </c>
      <c r="H154" s="5">
        <f t="shared" si="17"/>
        <v>3855006.33</v>
      </c>
      <c r="I154" s="7"/>
      <c r="J154" s="5">
        <f t="shared" si="18"/>
        <v>3855006.33</v>
      </c>
      <c r="K154" s="8"/>
      <c r="L154" s="6">
        <f t="shared" si="13"/>
        <v>3855006.33</v>
      </c>
      <c r="M154" s="6" t="s">
        <v>253</v>
      </c>
      <c r="N154" s="8" t="s">
        <v>216</v>
      </c>
      <c r="O154" s="12" t="s">
        <v>217</v>
      </c>
      <c r="P154" s="12" t="s">
        <v>262</v>
      </c>
      <c r="Q154" s="8"/>
      <c r="R154" s="11" t="s">
        <v>237</v>
      </c>
    </row>
    <row r="155" spans="1:19" ht="30" x14ac:dyDescent="0.25">
      <c r="A155" s="2">
        <v>3204010058</v>
      </c>
      <c r="B155" s="2" t="s">
        <v>146</v>
      </c>
      <c r="C155" s="7"/>
      <c r="D155" s="7"/>
      <c r="E155" s="5">
        <f t="shared" si="16"/>
        <v>0</v>
      </c>
      <c r="F155" s="7">
        <v>582127.05000000005</v>
      </c>
      <c r="G155" s="7">
        <v>0</v>
      </c>
      <c r="H155" s="5">
        <f t="shared" si="17"/>
        <v>582127.05000000005</v>
      </c>
      <c r="I155" s="7"/>
      <c r="J155" s="5">
        <f t="shared" si="18"/>
        <v>582127.05000000005</v>
      </c>
      <c r="K155" s="8"/>
      <c r="L155" s="6">
        <f t="shared" si="13"/>
        <v>582127.05000000005</v>
      </c>
      <c r="M155" s="6" t="s">
        <v>253</v>
      </c>
      <c r="N155" s="8" t="s">
        <v>216</v>
      </c>
      <c r="O155" s="12" t="s">
        <v>218</v>
      </c>
      <c r="P155" s="12" t="s">
        <v>262</v>
      </c>
      <c r="Q155" s="8"/>
    </row>
    <row r="156" spans="1:19" x14ac:dyDescent="0.25">
      <c r="A156" s="2">
        <v>3204010060</v>
      </c>
      <c r="B156" s="2" t="s">
        <v>147</v>
      </c>
      <c r="C156" s="7"/>
      <c r="D156" s="7"/>
      <c r="E156" s="5">
        <f t="shared" si="16"/>
        <v>0</v>
      </c>
      <c r="F156" s="7">
        <v>251953.87</v>
      </c>
      <c r="G156" s="7">
        <v>0</v>
      </c>
      <c r="H156" s="5">
        <f t="shared" si="17"/>
        <v>251953.87</v>
      </c>
      <c r="I156" s="7"/>
      <c r="J156" s="5">
        <f t="shared" si="18"/>
        <v>251953.87</v>
      </c>
      <c r="K156" s="8"/>
      <c r="L156" s="6">
        <f t="shared" si="13"/>
        <v>251953.87</v>
      </c>
      <c r="M156" s="6" t="s">
        <v>253</v>
      </c>
      <c r="N156" s="8" t="s">
        <v>216</v>
      </c>
      <c r="O156" s="12" t="s">
        <v>218</v>
      </c>
      <c r="P156" s="12" t="s">
        <v>262</v>
      </c>
      <c r="Q156" s="8"/>
    </row>
    <row r="157" spans="1:19" x14ac:dyDescent="0.25">
      <c r="A157" s="2">
        <v>3204010061</v>
      </c>
      <c r="B157" s="2" t="s">
        <v>148</v>
      </c>
      <c r="C157" s="7"/>
      <c r="D157" s="7"/>
      <c r="E157" s="5">
        <f t="shared" si="16"/>
        <v>0</v>
      </c>
      <c r="F157" s="7">
        <v>49000</v>
      </c>
      <c r="G157" s="7">
        <v>3000</v>
      </c>
      <c r="H157" s="5">
        <f t="shared" si="17"/>
        <v>46000</v>
      </c>
      <c r="I157" s="7"/>
      <c r="J157" s="5">
        <f t="shared" si="18"/>
        <v>46000</v>
      </c>
      <c r="K157" s="8"/>
      <c r="L157" s="6">
        <f t="shared" si="13"/>
        <v>46000</v>
      </c>
      <c r="M157" s="6" t="s">
        <v>253</v>
      </c>
      <c r="N157" s="8" t="s">
        <v>216</v>
      </c>
      <c r="O157" s="12" t="s">
        <v>218</v>
      </c>
      <c r="P157" s="12" t="s">
        <v>267</v>
      </c>
      <c r="Q157" s="8"/>
    </row>
    <row r="158" spans="1:19" x14ac:dyDescent="0.25">
      <c r="A158" s="2">
        <v>3204010062</v>
      </c>
      <c r="B158" s="2" t="s">
        <v>149</v>
      </c>
      <c r="C158" s="7"/>
      <c r="D158" s="7"/>
      <c r="E158" s="5">
        <f t="shared" si="16"/>
        <v>0</v>
      </c>
      <c r="F158" s="7">
        <v>333574.34999999998</v>
      </c>
      <c r="G158" s="7">
        <v>32463.5</v>
      </c>
      <c r="H158" s="5">
        <f t="shared" si="17"/>
        <v>301110.84999999998</v>
      </c>
      <c r="I158" s="7"/>
      <c r="J158" s="5">
        <f t="shared" si="18"/>
        <v>301110.84999999998</v>
      </c>
      <c r="K158" s="8"/>
      <c r="L158" s="6">
        <f t="shared" ref="L158:L212" si="19">J158+K158</f>
        <v>301110.84999999998</v>
      </c>
      <c r="M158" s="6" t="s">
        <v>253</v>
      </c>
      <c r="N158" s="8" t="s">
        <v>216</v>
      </c>
      <c r="O158" s="12" t="s">
        <v>219</v>
      </c>
      <c r="P158" s="12" t="s">
        <v>262</v>
      </c>
      <c r="Q158" s="8"/>
      <c r="R158" s="11" t="s">
        <v>241</v>
      </c>
    </row>
    <row r="159" spans="1:19" x14ac:dyDescent="0.25">
      <c r="A159" s="2">
        <v>3204010063</v>
      </c>
      <c r="B159" s="2" t="s">
        <v>150</v>
      </c>
      <c r="C159" s="7"/>
      <c r="D159" s="7"/>
      <c r="E159" s="5">
        <f t="shared" si="16"/>
        <v>0</v>
      </c>
      <c r="F159" s="7">
        <v>126086.96</v>
      </c>
      <c r="G159" s="7">
        <v>0</v>
      </c>
      <c r="H159" s="5">
        <f t="shared" si="17"/>
        <v>126086.96</v>
      </c>
      <c r="I159" s="7"/>
      <c r="J159" s="5">
        <f t="shared" si="18"/>
        <v>126086.96</v>
      </c>
      <c r="K159" s="8"/>
      <c r="L159" s="6">
        <f t="shared" si="19"/>
        <v>126086.96</v>
      </c>
      <c r="M159" s="6" t="s">
        <v>253</v>
      </c>
      <c r="N159" s="8" t="s">
        <v>216</v>
      </c>
      <c r="O159" s="12" t="s">
        <v>218</v>
      </c>
      <c r="P159" s="12" t="s">
        <v>262</v>
      </c>
      <c r="Q159" s="8"/>
    </row>
    <row r="160" spans="1:19" x14ac:dyDescent="0.25">
      <c r="A160" s="2">
        <v>3204010064</v>
      </c>
      <c r="B160" s="2" t="s">
        <v>151</v>
      </c>
      <c r="C160" s="7"/>
      <c r="D160" s="7"/>
      <c r="E160" s="5">
        <f t="shared" si="16"/>
        <v>0</v>
      </c>
      <c r="F160" s="7">
        <v>1615423.42</v>
      </c>
      <c r="G160" s="7">
        <v>272045.93</v>
      </c>
      <c r="H160" s="5">
        <f t="shared" si="17"/>
        <v>1343377.49</v>
      </c>
      <c r="I160" s="7"/>
      <c r="J160" s="5">
        <f t="shared" si="18"/>
        <v>1343377.49</v>
      </c>
      <c r="K160" s="8"/>
      <c r="L160" s="6">
        <f t="shared" si="19"/>
        <v>1343377.49</v>
      </c>
      <c r="M160" s="6" t="s">
        <v>253</v>
      </c>
      <c r="N160" s="8" t="s">
        <v>216</v>
      </c>
      <c r="O160" s="12" t="s">
        <v>223</v>
      </c>
      <c r="P160" s="12" t="s">
        <v>265</v>
      </c>
      <c r="Q160" s="8"/>
      <c r="R160" s="11" t="s">
        <v>230</v>
      </c>
      <c r="S160" s="11" t="s">
        <v>235</v>
      </c>
    </row>
    <row r="161" spans="1:17" x14ac:dyDescent="0.25">
      <c r="A161" s="2">
        <v>3204010067</v>
      </c>
      <c r="B161" s="2" t="s">
        <v>152</v>
      </c>
      <c r="C161" s="7"/>
      <c r="D161" s="7"/>
      <c r="E161" s="5">
        <f t="shared" si="16"/>
        <v>0</v>
      </c>
      <c r="F161" s="7">
        <v>3709170.46</v>
      </c>
      <c r="G161" s="7">
        <v>65285.01</v>
      </c>
      <c r="H161" s="5">
        <f t="shared" si="17"/>
        <v>3643885.45</v>
      </c>
      <c r="I161" s="7"/>
      <c r="J161" s="5">
        <f t="shared" si="18"/>
        <v>3643885.45</v>
      </c>
      <c r="K161" s="8"/>
      <c r="L161" s="6">
        <f t="shared" si="19"/>
        <v>3643885.45</v>
      </c>
      <c r="M161" s="6" t="s">
        <v>253</v>
      </c>
      <c r="N161" s="8" t="s">
        <v>216</v>
      </c>
      <c r="O161" s="12" t="s">
        <v>221</v>
      </c>
      <c r="P161" s="12" t="s">
        <v>262</v>
      </c>
      <c r="Q161" s="8"/>
    </row>
    <row r="162" spans="1:17" x14ac:dyDescent="0.25">
      <c r="A162" s="2">
        <v>3204010070</v>
      </c>
      <c r="B162" s="2" t="s">
        <v>153</v>
      </c>
      <c r="C162" s="7"/>
      <c r="D162" s="7"/>
      <c r="E162" s="5">
        <f t="shared" si="16"/>
        <v>0</v>
      </c>
      <c r="F162" s="7">
        <v>269674.69</v>
      </c>
      <c r="G162" s="7">
        <v>11000</v>
      </c>
      <c r="H162" s="5">
        <f t="shared" si="17"/>
        <v>258674.69</v>
      </c>
      <c r="I162" s="7"/>
      <c r="J162" s="5">
        <f t="shared" si="18"/>
        <v>258674.69</v>
      </c>
      <c r="K162" s="8"/>
      <c r="L162" s="6">
        <f t="shared" si="19"/>
        <v>258674.69</v>
      </c>
      <c r="M162" s="6" t="s">
        <v>253</v>
      </c>
      <c r="N162" s="8" t="s">
        <v>216</v>
      </c>
      <c r="O162" s="12" t="s">
        <v>223</v>
      </c>
      <c r="P162" s="12" t="s">
        <v>262</v>
      </c>
      <c r="Q162" s="8"/>
    </row>
    <row r="163" spans="1:17" ht="30" x14ac:dyDescent="0.25">
      <c r="A163" s="2">
        <v>3204010071</v>
      </c>
      <c r="B163" s="2" t="s">
        <v>154</v>
      </c>
      <c r="C163" s="7"/>
      <c r="D163" s="7"/>
      <c r="E163" s="5">
        <f t="shared" si="16"/>
        <v>0</v>
      </c>
      <c r="F163" s="7">
        <v>51479.31</v>
      </c>
      <c r="G163" s="7">
        <v>0</v>
      </c>
      <c r="H163" s="5">
        <f t="shared" si="17"/>
        <v>51479.31</v>
      </c>
      <c r="I163" s="7"/>
      <c r="J163" s="5">
        <f t="shared" si="18"/>
        <v>51479.31</v>
      </c>
      <c r="K163" s="8"/>
      <c r="L163" s="6">
        <f t="shared" si="19"/>
        <v>51479.31</v>
      </c>
      <c r="M163" s="6" t="s">
        <v>253</v>
      </c>
      <c r="N163" s="8" t="s">
        <v>216</v>
      </c>
      <c r="O163" s="12" t="s">
        <v>221</v>
      </c>
      <c r="P163" s="12" t="s">
        <v>262</v>
      </c>
      <c r="Q163" s="8"/>
    </row>
    <row r="164" spans="1:17" ht="30" x14ac:dyDescent="0.25">
      <c r="A164" s="2">
        <v>3204010072</v>
      </c>
      <c r="B164" s="2" t="s">
        <v>155</v>
      </c>
      <c r="C164" s="7"/>
      <c r="D164" s="7"/>
      <c r="E164" s="5">
        <f t="shared" si="16"/>
        <v>0</v>
      </c>
      <c r="F164" s="7">
        <v>7620</v>
      </c>
      <c r="G164" s="7">
        <v>0</v>
      </c>
      <c r="H164" s="5">
        <f t="shared" si="17"/>
        <v>7620</v>
      </c>
      <c r="I164" s="7"/>
      <c r="J164" s="5">
        <f t="shared" si="18"/>
        <v>7620</v>
      </c>
      <c r="K164" s="8"/>
      <c r="L164" s="6">
        <f t="shared" si="19"/>
        <v>7620</v>
      </c>
      <c r="M164" s="6" t="s">
        <v>253</v>
      </c>
      <c r="N164" s="8" t="s">
        <v>216</v>
      </c>
      <c r="O164" s="12" t="s">
        <v>218</v>
      </c>
      <c r="P164" s="12" t="s">
        <v>262</v>
      </c>
      <c r="Q164" s="8"/>
    </row>
    <row r="165" spans="1:17" ht="30" x14ac:dyDescent="0.25">
      <c r="A165" s="2">
        <v>3204010073</v>
      </c>
      <c r="B165" s="2" t="s">
        <v>156</v>
      </c>
      <c r="C165" s="7"/>
      <c r="D165" s="7"/>
      <c r="E165" s="5">
        <f t="shared" si="16"/>
        <v>0</v>
      </c>
      <c r="F165" s="7">
        <v>2367048.7999999998</v>
      </c>
      <c r="G165" s="7">
        <v>301.60000000000002</v>
      </c>
      <c r="H165" s="5">
        <f t="shared" si="17"/>
        <v>2366747.1999999997</v>
      </c>
      <c r="I165" s="7"/>
      <c r="J165" s="5">
        <f t="shared" si="18"/>
        <v>2366747.1999999997</v>
      </c>
      <c r="K165" s="8"/>
      <c r="L165" s="6">
        <f t="shared" si="19"/>
        <v>2366747.1999999997</v>
      </c>
      <c r="M165" s="6" t="s">
        <v>253</v>
      </c>
      <c r="N165" s="8" t="s">
        <v>216</v>
      </c>
      <c r="O165" s="12" t="s">
        <v>221</v>
      </c>
      <c r="P165" s="12" t="s">
        <v>262</v>
      </c>
      <c r="Q165" s="8"/>
    </row>
    <row r="166" spans="1:17" ht="45" x14ac:dyDescent="0.25">
      <c r="A166" s="2">
        <v>3204010074</v>
      </c>
      <c r="B166" s="2" t="s">
        <v>157</v>
      </c>
      <c r="C166" s="7"/>
      <c r="D166" s="7"/>
      <c r="E166" s="5">
        <f t="shared" si="16"/>
        <v>0</v>
      </c>
      <c r="F166" s="7">
        <v>552299.19999999995</v>
      </c>
      <c r="G166" s="7">
        <v>0.01</v>
      </c>
      <c r="H166" s="5">
        <f t="shared" si="17"/>
        <v>552299.18999999994</v>
      </c>
      <c r="I166" s="7"/>
      <c r="J166" s="5">
        <f t="shared" si="18"/>
        <v>552299.18999999994</v>
      </c>
      <c r="K166" s="8"/>
      <c r="L166" s="6">
        <f t="shared" si="19"/>
        <v>552299.18999999994</v>
      </c>
      <c r="M166" s="6" t="s">
        <v>253</v>
      </c>
      <c r="N166" s="8" t="s">
        <v>216</v>
      </c>
      <c r="O166" s="12" t="s">
        <v>221</v>
      </c>
      <c r="P166" s="12" t="s">
        <v>262</v>
      </c>
      <c r="Q166" s="8"/>
    </row>
    <row r="167" spans="1:17" ht="45" x14ac:dyDescent="0.25">
      <c r="A167" s="2">
        <v>3204010075</v>
      </c>
      <c r="B167" s="2" t="s">
        <v>158</v>
      </c>
      <c r="C167" s="7"/>
      <c r="D167" s="7"/>
      <c r="E167" s="5">
        <f t="shared" si="16"/>
        <v>0</v>
      </c>
      <c r="F167" s="7">
        <v>135402.13</v>
      </c>
      <c r="G167" s="7">
        <v>180255.87</v>
      </c>
      <c r="H167" s="7"/>
      <c r="I167" s="7">
        <f>-E167+G167-F167</f>
        <v>44853.739999999991</v>
      </c>
      <c r="J167" s="5">
        <f t="shared" si="18"/>
        <v>-44853.739999999991</v>
      </c>
      <c r="K167" s="8"/>
      <c r="L167" s="6">
        <f t="shared" si="19"/>
        <v>-44853.739999999991</v>
      </c>
      <c r="M167" s="6" t="s">
        <v>253</v>
      </c>
      <c r="N167" s="8" t="s">
        <v>216</v>
      </c>
      <c r="O167" s="12" t="s">
        <v>221</v>
      </c>
      <c r="P167" s="12" t="s">
        <v>262</v>
      </c>
      <c r="Q167" s="8"/>
    </row>
    <row r="168" spans="1:17" ht="30" x14ac:dyDescent="0.25">
      <c r="A168" s="2">
        <v>3204010076</v>
      </c>
      <c r="B168" s="2" t="s">
        <v>159</v>
      </c>
      <c r="C168" s="7"/>
      <c r="D168" s="7"/>
      <c r="E168" s="5">
        <f t="shared" si="16"/>
        <v>0</v>
      </c>
      <c r="F168" s="7">
        <v>2893.53</v>
      </c>
      <c r="G168" s="7">
        <v>0</v>
      </c>
      <c r="H168" s="5">
        <f t="shared" ref="H168:H181" si="20">E168+F168-G168</f>
        <v>2893.53</v>
      </c>
      <c r="I168" s="7"/>
      <c r="J168" s="5">
        <f t="shared" si="18"/>
        <v>2893.53</v>
      </c>
      <c r="K168" s="8"/>
      <c r="L168" s="6">
        <f t="shared" si="19"/>
        <v>2893.53</v>
      </c>
      <c r="M168" s="6" t="s">
        <v>253</v>
      </c>
      <c r="N168" s="8" t="s">
        <v>216</v>
      </c>
      <c r="O168" s="12" t="s">
        <v>221</v>
      </c>
      <c r="P168" s="12" t="s">
        <v>262</v>
      </c>
      <c r="Q168" s="8"/>
    </row>
    <row r="169" spans="1:17" x14ac:dyDescent="0.25">
      <c r="A169" s="2">
        <v>3204010077</v>
      </c>
      <c r="B169" s="2" t="s">
        <v>160</v>
      </c>
      <c r="C169" s="7"/>
      <c r="D169" s="7"/>
      <c r="E169" s="5">
        <f t="shared" si="16"/>
        <v>0</v>
      </c>
      <c r="F169" s="7">
        <v>2053168.91</v>
      </c>
      <c r="G169" s="7">
        <v>0</v>
      </c>
      <c r="H169" s="5">
        <f t="shared" si="20"/>
        <v>2053168.91</v>
      </c>
      <c r="I169" s="7"/>
      <c r="J169" s="5">
        <f t="shared" si="18"/>
        <v>2053168.91</v>
      </c>
      <c r="K169" s="8"/>
      <c r="L169" s="6">
        <f t="shared" si="19"/>
        <v>2053168.91</v>
      </c>
      <c r="M169" s="6" t="s">
        <v>253</v>
      </c>
      <c r="N169" s="8" t="s">
        <v>216</v>
      </c>
      <c r="O169" s="12" t="s">
        <v>221</v>
      </c>
      <c r="P169" s="12" t="s">
        <v>262</v>
      </c>
      <c r="Q169" s="8"/>
    </row>
    <row r="170" spans="1:17" ht="45" x14ac:dyDescent="0.25">
      <c r="A170" s="2">
        <v>3204010078</v>
      </c>
      <c r="B170" s="2" t="s">
        <v>161</v>
      </c>
      <c r="C170" s="7"/>
      <c r="D170" s="7"/>
      <c r="E170" s="5">
        <f t="shared" si="16"/>
        <v>0</v>
      </c>
      <c r="F170" s="7">
        <v>15371.45</v>
      </c>
      <c r="G170" s="7">
        <v>0</v>
      </c>
      <c r="H170" s="5">
        <f t="shared" si="20"/>
        <v>15371.45</v>
      </c>
      <c r="I170" s="7"/>
      <c r="J170" s="5">
        <f t="shared" si="18"/>
        <v>15371.45</v>
      </c>
      <c r="K170" s="8"/>
      <c r="L170" s="6">
        <f t="shared" si="19"/>
        <v>15371.45</v>
      </c>
      <c r="M170" s="6" t="s">
        <v>253</v>
      </c>
      <c r="N170" s="8" t="s">
        <v>216</v>
      </c>
      <c r="O170" s="12" t="s">
        <v>221</v>
      </c>
      <c r="P170" s="12" t="s">
        <v>262</v>
      </c>
      <c r="Q170" s="8"/>
    </row>
    <row r="171" spans="1:17" ht="30" x14ac:dyDescent="0.25">
      <c r="A171" s="2">
        <v>3204010079</v>
      </c>
      <c r="B171" s="2" t="s">
        <v>162</v>
      </c>
      <c r="C171" s="7"/>
      <c r="D171" s="7"/>
      <c r="E171" s="5">
        <f t="shared" si="16"/>
        <v>0</v>
      </c>
      <c r="F171" s="7">
        <v>12300</v>
      </c>
      <c r="G171" s="7">
        <v>0</v>
      </c>
      <c r="H171" s="5">
        <f t="shared" si="20"/>
        <v>12300</v>
      </c>
      <c r="I171" s="7"/>
      <c r="J171" s="5">
        <f t="shared" si="18"/>
        <v>12300</v>
      </c>
      <c r="K171" s="8"/>
      <c r="L171" s="6">
        <f t="shared" si="19"/>
        <v>12300</v>
      </c>
      <c r="M171" s="6" t="s">
        <v>253</v>
      </c>
      <c r="N171" s="8" t="s">
        <v>216</v>
      </c>
      <c r="O171" s="12" t="s">
        <v>221</v>
      </c>
      <c r="P171" s="12" t="s">
        <v>262</v>
      </c>
      <c r="Q171" s="8"/>
    </row>
    <row r="172" spans="1:17" ht="30" x14ac:dyDescent="0.25">
      <c r="A172" s="2">
        <v>3204010081</v>
      </c>
      <c r="B172" s="2" t="s">
        <v>163</v>
      </c>
      <c r="C172" s="7"/>
      <c r="D172" s="7"/>
      <c r="E172" s="5">
        <f t="shared" si="16"/>
        <v>0</v>
      </c>
      <c r="F172" s="7">
        <v>3717886.06</v>
      </c>
      <c r="G172" s="7">
        <v>34.200000000000003</v>
      </c>
      <c r="H172" s="5">
        <f t="shared" si="20"/>
        <v>3717851.86</v>
      </c>
      <c r="I172" s="7"/>
      <c r="J172" s="5">
        <f t="shared" si="18"/>
        <v>3717851.86</v>
      </c>
      <c r="K172" s="8"/>
      <c r="L172" s="6">
        <f t="shared" si="19"/>
        <v>3717851.86</v>
      </c>
      <c r="M172" s="6" t="s">
        <v>253</v>
      </c>
      <c r="N172" s="8" t="s">
        <v>216</v>
      </c>
      <c r="O172" s="12" t="s">
        <v>221</v>
      </c>
      <c r="P172" s="12" t="s">
        <v>262</v>
      </c>
      <c r="Q172" s="8"/>
    </row>
    <row r="173" spans="1:17" x14ac:dyDescent="0.25">
      <c r="A173" s="2">
        <v>3204010082</v>
      </c>
      <c r="B173" s="2" t="s">
        <v>164</v>
      </c>
      <c r="C173" s="7"/>
      <c r="D173" s="7"/>
      <c r="E173" s="5">
        <f t="shared" si="16"/>
        <v>0</v>
      </c>
      <c r="F173" s="7">
        <v>4925058.29</v>
      </c>
      <c r="G173" s="7">
        <v>353620.41</v>
      </c>
      <c r="H173" s="5">
        <f t="shared" si="20"/>
        <v>4571437.88</v>
      </c>
      <c r="I173" s="7"/>
      <c r="J173" s="5">
        <f t="shared" si="18"/>
        <v>4571437.88</v>
      </c>
      <c r="K173" s="8"/>
      <c r="L173" s="6">
        <f t="shared" si="19"/>
        <v>4571437.88</v>
      </c>
      <c r="M173" s="6" t="s">
        <v>253</v>
      </c>
      <c r="N173" s="8" t="s">
        <v>216</v>
      </c>
      <c r="O173" s="12" t="s">
        <v>221</v>
      </c>
      <c r="P173" s="12" t="s">
        <v>262</v>
      </c>
      <c r="Q173" s="8"/>
    </row>
    <row r="174" spans="1:17" ht="30" x14ac:dyDescent="0.25">
      <c r="A174" s="2">
        <v>3204010083</v>
      </c>
      <c r="B174" s="2" t="s">
        <v>165</v>
      </c>
      <c r="C174" s="7"/>
      <c r="D174" s="7"/>
      <c r="E174" s="5">
        <f t="shared" si="16"/>
        <v>0</v>
      </c>
      <c r="F174" s="7">
        <v>1382898.57</v>
      </c>
      <c r="G174" s="7">
        <v>22948.02</v>
      </c>
      <c r="H174" s="5">
        <f t="shared" si="20"/>
        <v>1359950.55</v>
      </c>
      <c r="I174" s="7"/>
      <c r="J174" s="5">
        <f t="shared" si="18"/>
        <v>1359950.55</v>
      </c>
      <c r="K174" s="8"/>
      <c r="L174" s="6">
        <f t="shared" si="19"/>
        <v>1359950.55</v>
      </c>
      <c r="M174" s="6" t="s">
        <v>253</v>
      </c>
      <c r="N174" s="8" t="s">
        <v>216</v>
      </c>
      <c r="O174" s="12" t="s">
        <v>221</v>
      </c>
      <c r="P174" s="12" t="s">
        <v>262</v>
      </c>
      <c r="Q174" s="8"/>
    </row>
    <row r="175" spans="1:17" ht="30" x14ac:dyDescent="0.25">
      <c r="A175" s="2">
        <v>3204010084</v>
      </c>
      <c r="B175" s="2" t="s">
        <v>166</v>
      </c>
      <c r="C175" s="7"/>
      <c r="D175" s="7"/>
      <c r="E175" s="5">
        <f t="shared" si="16"/>
        <v>0</v>
      </c>
      <c r="F175" s="7">
        <v>8287649.9699999997</v>
      </c>
      <c r="G175" s="7">
        <v>296851.68</v>
      </c>
      <c r="H175" s="5">
        <f t="shared" si="20"/>
        <v>7990798.29</v>
      </c>
      <c r="I175" s="7"/>
      <c r="J175" s="5">
        <f t="shared" si="18"/>
        <v>7990798.29</v>
      </c>
      <c r="K175" s="8"/>
      <c r="L175" s="6">
        <f t="shared" si="19"/>
        <v>7990798.29</v>
      </c>
      <c r="M175" s="6" t="s">
        <v>253</v>
      </c>
      <c r="N175" s="8" t="s">
        <v>216</v>
      </c>
      <c r="O175" s="12" t="s">
        <v>221</v>
      </c>
      <c r="P175" s="12" t="s">
        <v>262</v>
      </c>
      <c r="Q175" s="8"/>
    </row>
    <row r="176" spans="1:17" ht="30" x14ac:dyDescent="0.25">
      <c r="A176" s="2">
        <v>3204010085</v>
      </c>
      <c r="B176" s="2" t="s">
        <v>167</v>
      </c>
      <c r="C176" s="7"/>
      <c r="D176" s="7"/>
      <c r="E176" s="5">
        <f t="shared" si="16"/>
        <v>0</v>
      </c>
      <c r="F176" s="7">
        <v>201693.92</v>
      </c>
      <c r="G176" s="7">
        <v>0</v>
      </c>
      <c r="H176" s="5">
        <f t="shared" si="20"/>
        <v>201693.92</v>
      </c>
      <c r="I176" s="7"/>
      <c r="J176" s="5">
        <f t="shared" si="18"/>
        <v>201693.92</v>
      </c>
      <c r="K176" s="8"/>
      <c r="L176" s="6">
        <f t="shared" si="19"/>
        <v>201693.92</v>
      </c>
      <c r="M176" s="6" t="s">
        <v>253</v>
      </c>
      <c r="N176" s="8" t="s">
        <v>216</v>
      </c>
      <c r="O176" s="8" t="s">
        <v>224</v>
      </c>
      <c r="P176" s="12" t="s">
        <v>262</v>
      </c>
      <c r="Q176" s="8"/>
    </row>
    <row r="177" spans="1:17" x14ac:dyDescent="0.25">
      <c r="A177" s="2">
        <v>3204010086</v>
      </c>
      <c r="B177" s="2" t="s">
        <v>168</v>
      </c>
      <c r="C177" s="7"/>
      <c r="D177" s="7"/>
      <c r="E177" s="5">
        <f t="shared" si="16"/>
        <v>0</v>
      </c>
      <c r="F177" s="7">
        <v>118664.9</v>
      </c>
      <c r="G177" s="7">
        <v>5838.74</v>
      </c>
      <c r="H177" s="5">
        <f t="shared" si="20"/>
        <v>112826.15999999999</v>
      </c>
      <c r="I177" s="7"/>
      <c r="J177" s="5">
        <f t="shared" si="18"/>
        <v>112826.15999999999</v>
      </c>
      <c r="K177" s="8"/>
      <c r="L177" s="6">
        <f t="shared" si="19"/>
        <v>112826.15999999999</v>
      </c>
      <c r="M177" s="6" t="s">
        <v>253</v>
      </c>
      <c r="N177" s="8" t="s">
        <v>216</v>
      </c>
      <c r="O177" s="12" t="s">
        <v>219</v>
      </c>
      <c r="P177" s="12" t="s">
        <v>262</v>
      </c>
      <c r="Q177" s="8"/>
    </row>
    <row r="178" spans="1:17" x14ac:dyDescent="0.25">
      <c r="A178" s="2">
        <v>3204010087</v>
      </c>
      <c r="B178" s="2" t="s">
        <v>169</v>
      </c>
      <c r="C178" s="7"/>
      <c r="D178" s="7"/>
      <c r="E178" s="5">
        <f t="shared" si="16"/>
        <v>0</v>
      </c>
      <c r="F178" s="7">
        <v>2018037.52</v>
      </c>
      <c r="G178" s="7">
        <v>0</v>
      </c>
      <c r="H178" s="5">
        <f t="shared" si="20"/>
        <v>2018037.52</v>
      </c>
      <c r="I178" s="7"/>
      <c r="J178" s="5">
        <f t="shared" si="18"/>
        <v>2018037.52</v>
      </c>
      <c r="K178" s="8"/>
      <c r="L178" s="6">
        <f t="shared" si="19"/>
        <v>2018037.52</v>
      </c>
      <c r="M178" s="6" t="s">
        <v>253</v>
      </c>
      <c r="N178" s="8" t="s">
        <v>216</v>
      </c>
      <c r="O178" s="12" t="s">
        <v>221</v>
      </c>
      <c r="P178" s="12" t="s">
        <v>262</v>
      </c>
      <c r="Q178" s="8"/>
    </row>
    <row r="179" spans="1:17" x14ac:dyDescent="0.25">
      <c r="A179" s="2">
        <v>3204010088</v>
      </c>
      <c r="B179" s="2" t="s">
        <v>170</v>
      </c>
      <c r="C179" s="7"/>
      <c r="D179" s="7"/>
      <c r="E179" s="5">
        <f t="shared" si="16"/>
        <v>0</v>
      </c>
      <c r="F179" s="7">
        <v>3839810</v>
      </c>
      <c r="G179" s="7">
        <v>254449</v>
      </c>
      <c r="H179" s="5">
        <f t="shared" si="20"/>
        <v>3585361</v>
      </c>
      <c r="I179" s="7"/>
      <c r="J179" s="5">
        <f t="shared" si="18"/>
        <v>3585361</v>
      </c>
      <c r="K179" s="8"/>
      <c r="L179" s="6">
        <f t="shared" si="19"/>
        <v>3585361</v>
      </c>
      <c r="M179" s="6" t="s">
        <v>253</v>
      </c>
      <c r="N179" s="8" t="s">
        <v>216</v>
      </c>
      <c r="O179" s="12" t="s">
        <v>221</v>
      </c>
      <c r="P179" s="12" t="s">
        <v>262</v>
      </c>
      <c r="Q179" s="8"/>
    </row>
    <row r="180" spans="1:17" ht="30" x14ac:dyDescent="0.25">
      <c r="A180" s="2">
        <v>3204010089</v>
      </c>
      <c r="B180" s="2" t="s">
        <v>171</v>
      </c>
      <c r="C180" s="7"/>
      <c r="D180" s="7"/>
      <c r="E180" s="5">
        <f t="shared" si="16"/>
        <v>0</v>
      </c>
      <c r="F180" s="7">
        <v>83925</v>
      </c>
      <c r="G180" s="7">
        <v>1725</v>
      </c>
      <c r="H180" s="5">
        <f t="shared" si="20"/>
        <v>82200</v>
      </c>
      <c r="I180" s="7"/>
      <c r="J180" s="5">
        <f t="shared" si="18"/>
        <v>82200</v>
      </c>
      <c r="K180" s="8"/>
      <c r="L180" s="6">
        <f t="shared" si="19"/>
        <v>82200</v>
      </c>
      <c r="M180" s="6" t="s">
        <v>253</v>
      </c>
      <c r="N180" s="8" t="s">
        <v>216</v>
      </c>
      <c r="O180" s="12" t="s">
        <v>221</v>
      </c>
      <c r="P180" s="12" t="s">
        <v>262</v>
      </c>
      <c r="Q180" s="8"/>
    </row>
    <row r="181" spans="1:17" x14ac:dyDescent="0.25">
      <c r="A181" s="2">
        <v>3204010090</v>
      </c>
      <c r="B181" s="2" t="s">
        <v>172</v>
      </c>
      <c r="C181" s="7"/>
      <c r="D181" s="7"/>
      <c r="E181" s="5">
        <f t="shared" si="16"/>
        <v>0</v>
      </c>
      <c r="F181" s="7">
        <v>22901209.09</v>
      </c>
      <c r="G181" s="7">
        <v>25612</v>
      </c>
      <c r="H181" s="5">
        <f t="shared" si="20"/>
        <v>22875597.09</v>
      </c>
      <c r="I181" s="7"/>
      <c r="J181" s="5">
        <f t="shared" si="18"/>
        <v>22875597.09</v>
      </c>
      <c r="K181" s="8"/>
      <c r="L181" s="6">
        <f t="shared" si="19"/>
        <v>22875597.09</v>
      </c>
      <c r="M181" s="6" t="s">
        <v>253</v>
      </c>
      <c r="N181" s="8" t="s">
        <v>216</v>
      </c>
      <c r="O181" s="8" t="s">
        <v>224</v>
      </c>
      <c r="P181" s="12" t="s">
        <v>262</v>
      </c>
      <c r="Q181" s="8"/>
    </row>
    <row r="182" spans="1:17" x14ac:dyDescent="0.25">
      <c r="A182" s="2">
        <v>3204010091</v>
      </c>
      <c r="B182" s="2" t="s">
        <v>173</v>
      </c>
      <c r="C182" s="7"/>
      <c r="D182" s="7"/>
      <c r="E182" s="5">
        <f t="shared" si="16"/>
        <v>0</v>
      </c>
      <c r="F182" s="7">
        <v>0</v>
      </c>
      <c r="G182" s="7">
        <v>1267242</v>
      </c>
      <c r="H182" s="7"/>
      <c r="I182" s="7">
        <f>-E182+G182-F182</f>
        <v>1267242</v>
      </c>
      <c r="J182" s="5">
        <f t="shared" si="18"/>
        <v>-1267242</v>
      </c>
      <c r="K182" s="8"/>
      <c r="L182" s="6">
        <f t="shared" si="19"/>
        <v>-1267242</v>
      </c>
      <c r="M182" s="6" t="s">
        <v>253</v>
      </c>
      <c r="N182" s="8" t="s">
        <v>216</v>
      </c>
      <c r="O182" s="12" t="s">
        <v>218</v>
      </c>
      <c r="P182" s="12" t="s">
        <v>262</v>
      </c>
      <c r="Q182" s="8"/>
    </row>
    <row r="183" spans="1:17" x14ac:dyDescent="0.25">
      <c r="A183" s="2">
        <v>3205010001</v>
      </c>
      <c r="B183" s="2" t="s">
        <v>174</v>
      </c>
      <c r="C183" s="7"/>
      <c r="D183" s="7"/>
      <c r="E183" s="5">
        <f t="shared" si="16"/>
        <v>0</v>
      </c>
      <c r="F183" s="7">
        <v>567190.65</v>
      </c>
      <c r="G183" s="7">
        <v>0</v>
      </c>
      <c r="H183" s="5">
        <f t="shared" ref="H183:H211" si="21">E183+F183-G183</f>
        <v>567190.65</v>
      </c>
      <c r="I183" s="7"/>
      <c r="J183" s="5">
        <f t="shared" si="18"/>
        <v>567190.65</v>
      </c>
      <c r="K183" s="8"/>
      <c r="L183" s="6">
        <f t="shared" si="19"/>
        <v>567190.65</v>
      </c>
      <c r="M183" s="6" t="s">
        <v>253</v>
      </c>
      <c r="N183" s="8" t="s">
        <v>216</v>
      </c>
      <c r="O183" s="12" t="s">
        <v>220</v>
      </c>
      <c r="P183" s="12" t="s">
        <v>256</v>
      </c>
      <c r="Q183" s="8" t="s">
        <v>257</v>
      </c>
    </row>
    <row r="184" spans="1:17" x14ac:dyDescent="0.25">
      <c r="A184" s="2">
        <v>3205010002</v>
      </c>
      <c r="B184" s="2" t="s">
        <v>175</v>
      </c>
      <c r="C184" s="7"/>
      <c r="D184" s="7"/>
      <c r="E184" s="5">
        <f t="shared" si="16"/>
        <v>0</v>
      </c>
      <c r="F184" s="7">
        <v>578723.18000000005</v>
      </c>
      <c r="G184" s="7">
        <v>0</v>
      </c>
      <c r="H184" s="5">
        <f t="shared" si="21"/>
        <v>578723.18000000005</v>
      </c>
      <c r="I184" s="7"/>
      <c r="J184" s="5">
        <f t="shared" si="18"/>
        <v>578723.18000000005</v>
      </c>
      <c r="K184" s="8"/>
      <c r="L184" s="6">
        <f t="shared" si="19"/>
        <v>578723.18000000005</v>
      </c>
      <c r="M184" s="6" t="s">
        <v>253</v>
      </c>
      <c r="N184" s="8" t="s">
        <v>216</v>
      </c>
      <c r="O184" s="12" t="s">
        <v>217</v>
      </c>
      <c r="P184" s="12" t="s">
        <v>262</v>
      </c>
      <c r="Q184" s="8"/>
    </row>
    <row r="185" spans="1:17" ht="30" x14ac:dyDescent="0.25">
      <c r="A185" s="2">
        <v>3205010003</v>
      </c>
      <c r="B185" s="2" t="s">
        <v>176</v>
      </c>
      <c r="C185" s="7"/>
      <c r="D185" s="7"/>
      <c r="E185" s="5">
        <f t="shared" si="16"/>
        <v>0</v>
      </c>
      <c r="F185" s="7">
        <v>31811.01</v>
      </c>
      <c r="G185" s="7">
        <v>0</v>
      </c>
      <c r="H185" s="5">
        <f t="shared" si="21"/>
        <v>31811.01</v>
      </c>
      <c r="I185" s="7"/>
      <c r="J185" s="5">
        <f t="shared" si="18"/>
        <v>31811.01</v>
      </c>
      <c r="K185" s="8"/>
      <c r="L185" s="6">
        <f t="shared" si="19"/>
        <v>31811.01</v>
      </c>
      <c r="M185" s="6" t="s">
        <v>253</v>
      </c>
      <c r="N185" s="8" t="s">
        <v>216</v>
      </c>
      <c r="O185" s="12" t="s">
        <v>218</v>
      </c>
      <c r="P185" s="12" t="s">
        <v>262</v>
      </c>
      <c r="Q185" s="8"/>
    </row>
    <row r="186" spans="1:17" ht="30" x14ac:dyDescent="0.25">
      <c r="A186" s="2">
        <v>3205010005</v>
      </c>
      <c r="B186" s="2" t="s">
        <v>177</v>
      </c>
      <c r="C186" s="7"/>
      <c r="D186" s="7"/>
      <c r="E186" s="5">
        <f t="shared" si="16"/>
        <v>0</v>
      </c>
      <c r="F186" s="7">
        <v>5065.71</v>
      </c>
      <c r="G186" s="7">
        <v>0.01</v>
      </c>
      <c r="H186" s="5">
        <f t="shared" si="21"/>
        <v>5065.7</v>
      </c>
      <c r="I186" s="7"/>
      <c r="J186" s="5">
        <f t="shared" si="18"/>
        <v>5065.7</v>
      </c>
      <c r="K186" s="8"/>
      <c r="L186" s="6">
        <f t="shared" si="19"/>
        <v>5065.7</v>
      </c>
      <c r="M186" s="6" t="s">
        <v>253</v>
      </c>
      <c r="N186" s="8" t="s">
        <v>216</v>
      </c>
      <c r="O186" s="12" t="s">
        <v>218</v>
      </c>
      <c r="P186" s="12" t="s">
        <v>262</v>
      </c>
      <c r="Q186" s="8"/>
    </row>
    <row r="187" spans="1:17" ht="30" x14ac:dyDescent="0.25">
      <c r="A187" s="2">
        <v>3205010006</v>
      </c>
      <c r="B187" s="2" t="s">
        <v>178</v>
      </c>
      <c r="C187" s="7"/>
      <c r="D187" s="7"/>
      <c r="E187" s="5">
        <f t="shared" si="16"/>
        <v>0</v>
      </c>
      <c r="F187" s="7">
        <v>8395.98</v>
      </c>
      <c r="G187" s="7">
        <v>0</v>
      </c>
      <c r="H187" s="5">
        <f t="shared" si="21"/>
        <v>8395.98</v>
      </c>
      <c r="I187" s="7"/>
      <c r="J187" s="5">
        <f t="shared" si="18"/>
        <v>8395.98</v>
      </c>
      <c r="K187" s="8"/>
      <c r="L187" s="6">
        <f t="shared" si="19"/>
        <v>8395.98</v>
      </c>
      <c r="M187" s="6" t="s">
        <v>253</v>
      </c>
      <c r="N187" s="8" t="s">
        <v>216</v>
      </c>
      <c r="O187" s="12" t="s">
        <v>218</v>
      </c>
      <c r="P187" s="12" t="s">
        <v>262</v>
      </c>
      <c r="Q187" s="8"/>
    </row>
    <row r="188" spans="1:17" x14ac:dyDescent="0.25">
      <c r="A188" s="2">
        <v>3205010007</v>
      </c>
      <c r="B188" s="2" t="s">
        <v>26</v>
      </c>
      <c r="C188" s="7"/>
      <c r="D188" s="7"/>
      <c r="E188" s="5">
        <f t="shared" si="16"/>
        <v>0</v>
      </c>
      <c r="F188" s="7">
        <v>329249.32</v>
      </c>
      <c r="G188" s="7">
        <v>67557.5</v>
      </c>
      <c r="H188" s="5">
        <f t="shared" si="21"/>
        <v>261691.82</v>
      </c>
      <c r="I188" s="7"/>
      <c r="J188" s="5">
        <f t="shared" si="18"/>
        <v>261691.82</v>
      </c>
      <c r="K188" s="8"/>
      <c r="L188" s="6">
        <f t="shared" si="19"/>
        <v>261691.82</v>
      </c>
      <c r="M188" s="6" t="s">
        <v>253</v>
      </c>
      <c r="N188" s="8" t="s">
        <v>216</v>
      </c>
      <c r="O188" s="8" t="s">
        <v>224</v>
      </c>
      <c r="P188" s="12" t="s">
        <v>262</v>
      </c>
      <c r="Q188" s="8"/>
    </row>
    <row r="189" spans="1:17" x14ac:dyDescent="0.25">
      <c r="A189" s="2">
        <v>3205010008</v>
      </c>
      <c r="B189" s="2" t="s">
        <v>179</v>
      </c>
      <c r="C189" s="7"/>
      <c r="D189" s="7"/>
      <c r="E189" s="5">
        <f t="shared" si="16"/>
        <v>0</v>
      </c>
      <c r="F189" s="7">
        <v>54321.7</v>
      </c>
      <c r="G189" s="7">
        <v>11592.55</v>
      </c>
      <c r="H189" s="5">
        <f t="shared" si="21"/>
        <v>42729.149999999994</v>
      </c>
      <c r="I189" s="7"/>
      <c r="J189" s="5">
        <f t="shared" si="18"/>
        <v>42729.149999999994</v>
      </c>
      <c r="K189" s="8"/>
      <c r="L189" s="6">
        <f t="shared" si="19"/>
        <v>42729.149999999994</v>
      </c>
      <c r="M189" s="6" t="s">
        <v>253</v>
      </c>
      <c r="N189" s="8" t="s">
        <v>216</v>
      </c>
      <c r="O189" s="12" t="s">
        <v>218</v>
      </c>
      <c r="P189" s="12" t="s">
        <v>262</v>
      </c>
      <c r="Q189" s="8"/>
    </row>
    <row r="190" spans="1:17" ht="30" x14ac:dyDescent="0.25">
      <c r="A190" s="2">
        <v>3205010009</v>
      </c>
      <c r="B190" s="2" t="s">
        <v>180</v>
      </c>
      <c r="C190" s="7"/>
      <c r="D190" s="7"/>
      <c r="E190" s="5">
        <f t="shared" si="16"/>
        <v>0</v>
      </c>
      <c r="F190" s="7">
        <v>19300.8</v>
      </c>
      <c r="G190" s="7">
        <v>0</v>
      </c>
      <c r="H190" s="5">
        <f t="shared" si="21"/>
        <v>19300.8</v>
      </c>
      <c r="I190" s="7"/>
      <c r="J190" s="5">
        <f t="shared" si="18"/>
        <v>19300.8</v>
      </c>
      <c r="K190" s="8"/>
      <c r="L190" s="6">
        <f t="shared" si="19"/>
        <v>19300.8</v>
      </c>
      <c r="M190" s="6" t="s">
        <v>253</v>
      </c>
      <c r="N190" s="8" t="s">
        <v>216</v>
      </c>
      <c r="O190" s="12" t="s">
        <v>218</v>
      </c>
      <c r="P190" s="12" t="s">
        <v>262</v>
      </c>
      <c r="Q190" s="8"/>
    </row>
    <row r="191" spans="1:17" ht="30" x14ac:dyDescent="0.25">
      <c r="A191" s="2">
        <v>3205010010</v>
      </c>
      <c r="B191" s="2" t="s">
        <v>181</v>
      </c>
      <c r="C191" s="7"/>
      <c r="D191" s="7"/>
      <c r="E191" s="5">
        <f t="shared" si="16"/>
        <v>0</v>
      </c>
      <c r="F191" s="7">
        <v>252.65</v>
      </c>
      <c r="G191" s="7">
        <v>0</v>
      </c>
      <c r="H191" s="5">
        <f t="shared" si="21"/>
        <v>252.65</v>
      </c>
      <c r="I191" s="7"/>
      <c r="J191" s="5">
        <f t="shared" si="18"/>
        <v>252.65</v>
      </c>
      <c r="K191" s="8"/>
      <c r="L191" s="6">
        <f t="shared" si="19"/>
        <v>252.65</v>
      </c>
      <c r="M191" s="6" t="s">
        <v>253</v>
      </c>
      <c r="N191" s="8" t="s">
        <v>216</v>
      </c>
      <c r="O191" s="12" t="s">
        <v>218</v>
      </c>
      <c r="P191" s="12" t="s">
        <v>262</v>
      </c>
      <c r="Q191" s="8"/>
    </row>
    <row r="192" spans="1:17" ht="30" x14ac:dyDescent="0.25">
      <c r="A192" s="2">
        <v>3205010011</v>
      </c>
      <c r="B192" s="2" t="s">
        <v>182</v>
      </c>
      <c r="C192" s="7"/>
      <c r="D192" s="7"/>
      <c r="E192" s="5">
        <f t="shared" si="16"/>
        <v>0</v>
      </c>
      <c r="F192" s="7">
        <v>487.67</v>
      </c>
      <c r="G192" s="7">
        <v>0</v>
      </c>
      <c r="H192" s="5">
        <f t="shared" si="21"/>
        <v>487.67</v>
      </c>
      <c r="I192" s="7"/>
      <c r="J192" s="5">
        <f t="shared" si="18"/>
        <v>487.67</v>
      </c>
      <c r="K192" s="8"/>
      <c r="L192" s="6">
        <f t="shared" si="19"/>
        <v>487.67</v>
      </c>
      <c r="M192" s="6" t="s">
        <v>253</v>
      </c>
      <c r="N192" s="8" t="s">
        <v>216</v>
      </c>
      <c r="O192" s="12" t="s">
        <v>218</v>
      </c>
      <c r="P192" s="12" t="s">
        <v>262</v>
      </c>
      <c r="Q192" s="8"/>
    </row>
    <row r="193" spans="1:18" ht="30" x14ac:dyDescent="0.25">
      <c r="A193" s="2">
        <v>3205010012</v>
      </c>
      <c r="B193" s="2" t="s">
        <v>183</v>
      </c>
      <c r="C193" s="7"/>
      <c r="D193" s="7"/>
      <c r="E193" s="5">
        <f t="shared" si="16"/>
        <v>0</v>
      </c>
      <c r="F193" s="7">
        <v>38109.07</v>
      </c>
      <c r="G193" s="7">
        <v>0</v>
      </c>
      <c r="H193" s="5">
        <f t="shared" si="21"/>
        <v>38109.07</v>
      </c>
      <c r="I193" s="7"/>
      <c r="J193" s="5">
        <f t="shared" si="18"/>
        <v>38109.07</v>
      </c>
      <c r="K193" s="8"/>
      <c r="L193" s="6">
        <f t="shared" si="19"/>
        <v>38109.07</v>
      </c>
      <c r="M193" s="6" t="s">
        <v>253</v>
      </c>
      <c r="N193" s="8" t="s">
        <v>216</v>
      </c>
      <c r="O193" s="12" t="s">
        <v>218</v>
      </c>
      <c r="P193" s="12" t="s">
        <v>262</v>
      </c>
      <c r="Q193" s="8"/>
    </row>
    <row r="194" spans="1:18" ht="30" x14ac:dyDescent="0.25">
      <c r="A194" s="2">
        <v>3205010013</v>
      </c>
      <c r="B194" s="2" t="s">
        <v>184</v>
      </c>
      <c r="C194" s="7"/>
      <c r="D194" s="7"/>
      <c r="E194" s="5">
        <f t="shared" si="16"/>
        <v>0</v>
      </c>
      <c r="F194" s="7">
        <v>364266.26</v>
      </c>
      <c r="G194" s="7">
        <v>0</v>
      </c>
      <c r="H194" s="5">
        <f t="shared" si="21"/>
        <v>364266.26</v>
      </c>
      <c r="I194" s="7"/>
      <c r="J194" s="5">
        <f t="shared" si="18"/>
        <v>364266.26</v>
      </c>
      <c r="K194" s="8"/>
      <c r="L194" s="6">
        <f t="shared" si="19"/>
        <v>364266.26</v>
      </c>
      <c r="M194" s="6" t="s">
        <v>253</v>
      </c>
      <c r="N194" s="8" t="s">
        <v>216</v>
      </c>
      <c r="O194" s="12" t="s">
        <v>218</v>
      </c>
      <c r="P194" s="12" t="s">
        <v>265</v>
      </c>
      <c r="Q194" s="8"/>
    </row>
    <row r="195" spans="1:18" ht="30" x14ac:dyDescent="0.25">
      <c r="A195" s="2">
        <v>3205010014</v>
      </c>
      <c r="B195" s="2" t="s">
        <v>185</v>
      </c>
      <c r="C195" s="7"/>
      <c r="D195" s="7"/>
      <c r="E195" s="5">
        <f t="shared" ref="E195:E210" si="22">C195-D195</f>
        <v>0</v>
      </c>
      <c r="F195" s="7">
        <v>12370.37</v>
      </c>
      <c r="G195" s="7">
        <v>0</v>
      </c>
      <c r="H195" s="5">
        <f t="shared" si="21"/>
        <v>12370.37</v>
      </c>
      <c r="I195" s="7"/>
      <c r="J195" s="5">
        <f t="shared" ref="J195:J211" si="23">H195-I195</f>
        <v>12370.37</v>
      </c>
      <c r="K195" s="8"/>
      <c r="L195" s="6">
        <f t="shared" si="19"/>
        <v>12370.37</v>
      </c>
      <c r="M195" s="6" t="s">
        <v>253</v>
      </c>
      <c r="N195" s="8" t="s">
        <v>216</v>
      </c>
      <c r="O195" s="12" t="s">
        <v>218</v>
      </c>
      <c r="P195" s="12" t="s">
        <v>256</v>
      </c>
      <c r="Q195" s="8" t="s">
        <v>269</v>
      </c>
    </row>
    <row r="196" spans="1:18" ht="30" x14ac:dyDescent="0.25">
      <c r="A196" s="2">
        <v>3205010015</v>
      </c>
      <c r="B196" s="2" t="s">
        <v>186</v>
      </c>
      <c r="C196" s="7"/>
      <c r="D196" s="7"/>
      <c r="E196" s="5">
        <f t="shared" si="22"/>
        <v>0</v>
      </c>
      <c r="F196" s="7">
        <v>122662.92</v>
      </c>
      <c r="G196" s="7">
        <v>25832.19</v>
      </c>
      <c r="H196" s="5">
        <f t="shared" si="21"/>
        <v>96830.73</v>
      </c>
      <c r="I196" s="7"/>
      <c r="J196" s="5">
        <f t="shared" si="23"/>
        <v>96830.73</v>
      </c>
      <c r="K196" s="8"/>
      <c r="L196" s="6">
        <f t="shared" si="19"/>
        <v>96830.73</v>
      </c>
      <c r="M196" s="6" t="s">
        <v>253</v>
      </c>
      <c r="N196" s="8" t="s">
        <v>216</v>
      </c>
      <c r="O196" s="12" t="s">
        <v>218</v>
      </c>
      <c r="P196" s="12" t="s">
        <v>262</v>
      </c>
      <c r="Q196" s="8"/>
    </row>
    <row r="197" spans="1:18" ht="30" x14ac:dyDescent="0.25">
      <c r="A197" s="2">
        <v>3205010016</v>
      </c>
      <c r="B197" s="2" t="s">
        <v>187</v>
      </c>
      <c r="C197" s="7"/>
      <c r="D197" s="7"/>
      <c r="E197" s="5">
        <f t="shared" si="22"/>
        <v>0</v>
      </c>
      <c r="F197" s="7">
        <v>3381.93</v>
      </c>
      <c r="G197" s="7">
        <v>0</v>
      </c>
      <c r="H197" s="5">
        <f t="shared" si="21"/>
        <v>3381.93</v>
      </c>
      <c r="I197" s="7"/>
      <c r="J197" s="5">
        <f t="shared" si="23"/>
        <v>3381.93</v>
      </c>
      <c r="K197" s="8"/>
      <c r="L197" s="6">
        <f t="shared" si="19"/>
        <v>3381.93</v>
      </c>
      <c r="M197" s="6" t="s">
        <v>253</v>
      </c>
      <c r="N197" s="8" t="s">
        <v>216</v>
      </c>
      <c r="O197" s="12" t="s">
        <v>218</v>
      </c>
      <c r="P197" s="12" t="s">
        <v>262</v>
      </c>
      <c r="Q197" s="8"/>
    </row>
    <row r="198" spans="1:18" ht="30" x14ac:dyDescent="0.25">
      <c r="A198" s="2">
        <v>3205010017</v>
      </c>
      <c r="B198" s="2" t="s">
        <v>188</v>
      </c>
      <c r="C198" s="7"/>
      <c r="D198" s="7"/>
      <c r="E198" s="5">
        <f t="shared" si="22"/>
        <v>0</v>
      </c>
      <c r="F198" s="7">
        <v>1500</v>
      </c>
      <c r="G198" s="7">
        <v>0</v>
      </c>
      <c r="H198" s="5">
        <f t="shared" si="21"/>
        <v>1500</v>
      </c>
      <c r="I198" s="7"/>
      <c r="J198" s="5">
        <f t="shared" si="23"/>
        <v>1500</v>
      </c>
      <c r="K198" s="8"/>
      <c r="L198" s="6">
        <f t="shared" si="19"/>
        <v>1500</v>
      </c>
      <c r="M198" s="6" t="s">
        <v>253</v>
      </c>
      <c r="N198" s="8" t="s">
        <v>216</v>
      </c>
      <c r="O198" s="12" t="s">
        <v>218</v>
      </c>
      <c r="P198" s="12" t="s">
        <v>256</v>
      </c>
      <c r="Q198" s="8" t="s">
        <v>257</v>
      </c>
    </row>
    <row r="199" spans="1:18" x14ac:dyDescent="0.25">
      <c r="A199" s="2">
        <v>3205010019</v>
      </c>
      <c r="B199" s="2" t="s">
        <v>189</v>
      </c>
      <c r="C199" s="7"/>
      <c r="D199" s="7"/>
      <c r="E199" s="5">
        <f t="shared" si="22"/>
        <v>0</v>
      </c>
      <c r="F199" s="7">
        <v>23828.95</v>
      </c>
      <c r="G199" s="7">
        <v>0</v>
      </c>
      <c r="H199" s="5">
        <f t="shared" si="21"/>
        <v>23828.95</v>
      </c>
      <c r="I199" s="7"/>
      <c r="J199" s="5">
        <f t="shared" si="23"/>
        <v>23828.95</v>
      </c>
      <c r="K199" s="8"/>
      <c r="L199" s="6">
        <f t="shared" si="19"/>
        <v>23828.95</v>
      </c>
      <c r="M199" s="6" t="s">
        <v>253</v>
      </c>
      <c r="N199" s="8" t="s">
        <v>216</v>
      </c>
      <c r="O199" s="12" t="s">
        <v>220</v>
      </c>
      <c r="P199" s="12" t="s">
        <v>256</v>
      </c>
      <c r="Q199" s="8" t="s">
        <v>259</v>
      </c>
    </row>
    <row r="200" spans="1:18" x14ac:dyDescent="0.25">
      <c r="A200" s="2">
        <v>3205010020</v>
      </c>
      <c r="B200" s="2" t="s">
        <v>190</v>
      </c>
      <c r="C200" s="7"/>
      <c r="D200" s="7"/>
      <c r="E200" s="5">
        <f t="shared" si="22"/>
        <v>0</v>
      </c>
      <c r="F200" s="7">
        <v>17718.490000000002</v>
      </c>
      <c r="G200" s="7">
        <v>0</v>
      </c>
      <c r="H200" s="5">
        <f t="shared" si="21"/>
        <v>17718.490000000002</v>
      </c>
      <c r="I200" s="7"/>
      <c r="J200" s="5">
        <f t="shared" si="23"/>
        <v>17718.490000000002</v>
      </c>
      <c r="K200" s="8"/>
      <c r="L200" s="6">
        <f t="shared" si="19"/>
        <v>17718.490000000002</v>
      </c>
      <c r="M200" s="6" t="s">
        <v>253</v>
      </c>
      <c r="N200" s="8" t="s">
        <v>216</v>
      </c>
      <c r="O200" s="12" t="s">
        <v>218</v>
      </c>
      <c r="P200" s="12" t="s">
        <v>256</v>
      </c>
      <c r="Q200" s="8" t="s">
        <v>261</v>
      </c>
    </row>
    <row r="201" spans="1:18" x14ac:dyDescent="0.25">
      <c r="A201" s="2">
        <v>3205010021</v>
      </c>
      <c r="B201" s="2" t="s">
        <v>191</v>
      </c>
      <c r="C201" s="7"/>
      <c r="D201" s="7"/>
      <c r="E201" s="5">
        <f t="shared" si="22"/>
        <v>0</v>
      </c>
      <c r="F201" s="7">
        <v>8551</v>
      </c>
      <c r="G201" s="7">
        <v>0</v>
      </c>
      <c r="H201" s="5">
        <f t="shared" si="21"/>
        <v>8551</v>
      </c>
      <c r="I201" s="7"/>
      <c r="J201" s="5">
        <f t="shared" si="23"/>
        <v>8551</v>
      </c>
      <c r="K201" s="8"/>
      <c r="L201" s="6">
        <f t="shared" si="19"/>
        <v>8551</v>
      </c>
      <c r="M201" s="6" t="s">
        <v>253</v>
      </c>
      <c r="N201" s="8" t="s">
        <v>216</v>
      </c>
      <c r="O201" s="12" t="s">
        <v>220</v>
      </c>
      <c r="P201" s="12" t="s">
        <v>256</v>
      </c>
      <c r="Q201" s="8" t="s">
        <v>260</v>
      </c>
    </row>
    <row r="202" spans="1:18" x14ac:dyDescent="0.25">
      <c r="A202" s="2">
        <v>3205010022</v>
      </c>
      <c r="B202" s="2" t="s">
        <v>192</v>
      </c>
      <c r="C202" s="7"/>
      <c r="D202" s="7"/>
      <c r="E202" s="5">
        <f t="shared" si="22"/>
        <v>0</v>
      </c>
      <c r="F202" s="7">
        <v>71356.009999999995</v>
      </c>
      <c r="G202" s="7">
        <v>525</v>
      </c>
      <c r="H202" s="5">
        <f t="shared" si="21"/>
        <v>70831.009999999995</v>
      </c>
      <c r="I202" s="7"/>
      <c r="J202" s="5">
        <f t="shared" si="23"/>
        <v>70831.009999999995</v>
      </c>
      <c r="K202" s="8"/>
      <c r="L202" s="6">
        <f t="shared" si="19"/>
        <v>70831.009999999995</v>
      </c>
      <c r="M202" s="6" t="s">
        <v>253</v>
      </c>
      <c r="N202" s="8" t="s">
        <v>216</v>
      </c>
      <c r="O202" s="12" t="s">
        <v>220</v>
      </c>
      <c r="P202" s="12" t="s">
        <v>256</v>
      </c>
      <c r="Q202" s="8" t="s">
        <v>258</v>
      </c>
    </row>
    <row r="203" spans="1:18" x14ac:dyDescent="0.25">
      <c r="A203" s="2">
        <v>3205010023</v>
      </c>
      <c r="B203" s="2" t="s">
        <v>193</v>
      </c>
      <c r="C203" s="7"/>
      <c r="D203" s="7"/>
      <c r="E203" s="5">
        <f t="shared" si="22"/>
        <v>0</v>
      </c>
      <c r="F203" s="7">
        <v>99635.95</v>
      </c>
      <c r="G203" s="7">
        <v>0</v>
      </c>
      <c r="H203" s="5">
        <f t="shared" si="21"/>
        <v>99635.95</v>
      </c>
      <c r="I203" s="7"/>
      <c r="J203" s="5">
        <f t="shared" si="23"/>
        <v>99635.95</v>
      </c>
      <c r="K203" s="8"/>
      <c r="L203" s="6">
        <f t="shared" si="19"/>
        <v>99635.95</v>
      </c>
      <c r="M203" s="6" t="s">
        <v>253</v>
      </c>
      <c r="N203" s="8" t="s">
        <v>216</v>
      </c>
      <c r="O203" s="12" t="s">
        <v>218</v>
      </c>
      <c r="P203" s="12" t="s">
        <v>262</v>
      </c>
      <c r="Q203" s="8"/>
    </row>
    <row r="204" spans="1:18" x14ac:dyDescent="0.25">
      <c r="A204" s="2">
        <v>3301010002</v>
      </c>
      <c r="B204" s="2" t="s">
        <v>194</v>
      </c>
      <c r="C204" s="7"/>
      <c r="D204" s="7"/>
      <c r="E204" s="5">
        <f t="shared" si="22"/>
        <v>0</v>
      </c>
      <c r="F204" s="7">
        <v>108851.01</v>
      </c>
      <c r="G204" s="7">
        <v>0</v>
      </c>
      <c r="H204" s="5">
        <f t="shared" si="21"/>
        <v>108851.01</v>
      </c>
      <c r="I204" s="7"/>
      <c r="J204" s="5">
        <f t="shared" si="23"/>
        <v>108851.01</v>
      </c>
      <c r="K204" s="8"/>
      <c r="L204" s="6">
        <f t="shared" si="19"/>
        <v>108851.01</v>
      </c>
      <c r="M204" s="6" t="s">
        <v>253</v>
      </c>
      <c r="N204" s="8" t="s">
        <v>216</v>
      </c>
      <c r="O204" s="12" t="s">
        <v>225</v>
      </c>
      <c r="P204" s="12" t="s">
        <v>268</v>
      </c>
      <c r="Q204" s="8"/>
    </row>
    <row r="205" spans="1:18" x14ac:dyDescent="0.25">
      <c r="A205" s="2">
        <v>3301010003</v>
      </c>
      <c r="B205" s="2" t="s">
        <v>195</v>
      </c>
      <c r="C205" s="7"/>
      <c r="D205" s="7"/>
      <c r="E205" s="5">
        <f t="shared" si="22"/>
        <v>0</v>
      </c>
      <c r="F205" s="7">
        <v>18389.060000000001</v>
      </c>
      <c r="G205" s="7">
        <v>1584.02</v>
      </c>
      <c r="H205" s="5">
        <f t="shared" si="21"/>
        <v>16805.04</v>
      </c>
      <c r="I205" s="7"/>
      <c r="J205" s="5">
        <f t="shared" si="23"/>
        <v>16805.04</v>
      </c>
      <c r="K205" s="8"/>
      <c r="L205" s="6">
        <f t="shared" si="19"/>
        <v>16805.04</v>
      </c>
      <c r="M205" s="6" t="s">
        <v>253</v>
      </c>
      <c r="N205" s="8" t="s">
        <v>207</v>
      </c>
      <c r="O205" s="12" t="s">
        <v>225</v>
      </c>
      <c r="P205" s="12" t="s">
        <v>268</v>
      </c>
      <c r="Q205" s="8"/>
    </row>
    <row r="206" spans="1:18" x14ac:dyDescent="0.25">
      <c r="A206" s="2">
        <v>3301010004</v>
      </c>
      <c r="B206" s="2" t="s">
        <v>196</v>
      </c>
      <c r="C206" s="7"/>
      <c r="D206" s="7"/>
      <c r="E206" s="5">
        <f t="shared" si="22"/>
        <v>0</v>
      </c>
      <c r="F206" s="7">
        <v>299568.57</v>
      </c>
      <c r="G206" s="7">
        <v>7094.89</v>
      </c>
      <c r="H206" s="5">
        <f t="shared" si="21"/>
        <v>292473.68</v>
      </c>
      <c r="I206" s="7"/>
      <c r="J206" s="5">
        <f t="shared" si="23"/>
        <v>292473.68</v>
      </c>
      <c r="K206" s="8"/>
      <c r="L206" s="6">
        <f t="shared" si="19"/>
        <v>292473.68</v>
      </c>
      <c r="M206" s="6" t="s">
        <v>253</v>
      </c>
      <c r="N206" s="8" t="s">
        <v>216</v>
      </c>
      <c r="O206" s="12" t="s">
        <v>225</v>
      </c>
      <c r="P206" s="12" t="s">
        <v>268</v>
      </c>
      <c r="Q206" s="8"/>
    </row>
    <row r="207" spans="1:18" x14ac:dyDescent="0.25">
      <c r="A207" s="2">
        <v>3301010006</v>
      </c>
      <c r="B207" s="2" t="s">
        <v>197</v>
      </c>
      <c r="C207" s="7"/>
      <c r="D207" s="7"/>
      <c r="E207" s="5">
        <f t="shared" si="22"/>
        <v>0</v>
      </c>
      <c r="F207" s="7">
        <v>17985.45</v>
      </c>
      <c r="G207" s="7">
        <v>0</v>
      </c>
      <c r="H207" s="5">
        <f t="shared" si="21"/>
        <v>17985.45</v>
      </c>
      <c r="I207" s="7"/>
      <c r="J207" s="5">
        <f t="shared" si="23"/>
        <v>17985.45</v>
      </c>
      <c r="K207" s="8"/>
      <c r="L207" s="6">
        <f t="shared" si="19"/>
        <v>17985.45</v>
      </c>
      <c r="M207" s="6" t="s">
        <v>253</v>
      </c>
      <c r="N207" s="8" t="s">
        <v>216</v>
      </c>
      <c r="O207" s="12" t="s">
        <v>225</v>
      </c>
      <c r="P207" s="12" t="s">
        <v>268</v>
      </c>
      <c r="Q207" s="8"/>
      <c r="R207" s="11" t="s">
        <v>233</v>
      </c>
    </row>
    <row r="208" spans="1:18" ht="30" x14ac:dyDescent="0.25">
      <c r="A208" s="2">
        <v>3301010007</v>
      </c>
      <c r="B208" s="2" t="s">
        <v>198</v>
      </c>
      <c r="C208" s="7"/>
      <c r="D208" s="7"/>
      <c r="E208" s="5">
        <f t="shared" si="22"/>
        <v>0</v>
      </c>
      <c r="F208" s="7">
        <v>120788.48</v>
      </c>
      <c r="G208" s="7">
        <v>6225.46</v>
      </c>
      <c r="H208" s="5">
        <f t="shared" si="21"/>
        <v>114563.01999999999</v>
      </c>
      <c r="I208" s="7"/>
      <c r="J208" s="5">
        <f t="shared" si="23"/>
        <v>114563.01999999999</v>
      </c>
      <c r="K208" s="8"/>
      <c r="L208" s="6">
        <f t="shared" si="19"/>
        <v>114563.01999999999</v>
      </c>
      <c r="M208" s="6" t="s">
        <v>253</v>
      </c>
      <c r="N208" s="8" t="s">
        <v>216</v>
      </c>
      <c r="O208" s="12" t="s">
        <v>225</v>
      </c>
      <c r="P208" s="12" t="s">
        <v>268</v>
      </c>
      <c r="Q208" s="8"/>
    </row>
    <row r="209" spans="1:17" x14ac:dyDescent="0.25">
      <c r="A209" s="2">
        <v>3301010010</v>
      </c>
      <c r="B209" s="2" t="s">
        <v>199</v>
      </c>
      <c r="C209" s="7"/>
      <c r="D209" s="7"/>
      <c r="E209" s="5">
        <f t="shared" si="22"/>
        <v>0</v>
      </c>
      <c r="F209" s="7">
        <v>57091</v>
      </c>
      <c r="G209" s="7">
        <v>0</v>
      </c>
      <c r="H209" s="5">
        <f t="shared" si="21"/>
        <v>57091</v>
      </c>
      <c r="I209" s="7"/>
      <c r="J209" s="5">
        <f t="shared" si="23"/>
        <v>57091</v>
      </c>
      <c r="K209" s="8"/>
      <c r="L209" s="6">
        <f t="shared" si="19"/>
        <v>57091</v>
      </c>
      <c r="M209" s="6" t="s">
        <v>253</v>
      </c>
      <c r="N209" s="8" t="s">
        <v>216</v>
      </c>
      <c r="O209" s="12" t="s">
        <v>225</v>
      </c>
      <c r="P209" s="12" t="s">
        <v>268</v>
      </c>
      <c r="Q209" s="8"/>
    </row>
    <row r="210" spans="1:17" x14ac:dyDescent="0.25">
      <c r="A210" s="2">
        <v>3301010011</v>
      </c>
      <c r="B210" s="2" t="s">
        <v>200</v>
      </c>
      <c r="C210" s="7"/>
      <c r="D210" s="7"/>
      <c r="E210" s="5">
        <f t="shared" si="22"/>
        <v>0</v>
      </c>
      <c r="F210" s="7">
        <f>10199914-225860</f>
        <v>9974054</v>
      </c>
      <c r="G210" s="7">
        <v>142882.5</v>
      </c>
      <c r="H210" s="5">
        <f t="shared" si="21"/>
        <v>9831171.5</v>
      </c>
      <c r="I210" s="7"/>
      <c r="J210" s="5">
        <f t="shared" si="23"/>
        <v>9831171.5</v>
      </c>
      <c r="K210" s="8"/>
      <c r="L210" s="6">
        <f t="shared" si="19"/>
        <v>9831171.5</v>
      </c>
      <c r="M210" s="6" t="s">
        <v>253</v>
      </c>
      <c r="N210" s="8" t="s">
        <v>216</v>
      </c>
      <c r="O210" s="12" t="s">
        <v>227</v>
      </c>
      <c r="P210" s="12" t="s">
        <v>268</v>
      </c>
      <c r="Q210" s="8"/>
    </row>
    <row r="211" spans="1:17" ht="30" x14ac:dyDescent="0.25">
      <c r="A211" s="2" t="s">
        <v>209</v>
      </c>
      <c r="B211" s="2" t="s">
        <v>200</v>
      </c>
      <c r="C211" s="7"/>
      <c r="D211" s="7"/>
      <c r="E211" s="5">
        <v>0</v>
      </c>
      <c r="F211" s="7">
        <v>225860</v>
      </c>
      <c r="G211" s="7">
        <v>0</v>
      </c>
      <c r="H211" s="5">
        <f t="shared" si="21"/>
        <v>225860</v>
      </c>
      <c r="I211" s="7"/>
      <c r="J211" s="5">
        <f t="shared" si="23"/>
        <v>225860</v>
      </c>
      <c r="K211" s="8"/>
      <c r="L211" s="6">
        <f t="shared" si="19"/>
        <v>225860</v>
      </c>
      <c r="M211" s="6" t="s">
        <v>253</v>
      </c>
      <c r="N211" s="8" t="s">
        <v>207</v>
      </c>
      <c r="O211" s="12" t="s">
        <v>227</v>
      </c>
      <c r="P211" s="12" t="s">
        <v>268</v>
      </c>
      <c r="Q211" s="8"/>
    </row>
    <row r="212" spans="1:17" ht="30.75" thickBot="1" x14ac:dyDescent="0.3">
      <c r="A212" s="2" t="s">
        <v>214</v>
      </c>
      <c r="B212" s="2" t="s">
        <v>210</v>
      </c>
      <c r="C212" s="7"/>
      <c r="D212" s="7"/>
      <c r="E212" s="5"/>
      <c r="F212" s="7"/>
      <c r="G212" s="7"/>
      <c r="H212" s="7"/>
      <c r="I212" s="7"/>
      <c r="J212" s="5"/>
      <c r="K212" s="8">
        <v>-167005</v>
      </c>
      <c r="L212" s="6">
        <f t="shared" si="19"/>
        <v>-167005</v>
      </c>
      <c r="M212" s="6" t="s">
        <v>253</v>
      </c>
      <c r="N212" s="8" t="s">
        <v>211</v>
      </c>
      <c r="O212" s="12" t="s">
        <v>210</v>
      </c>
      <c r="P212" s="8" t="s">
        <v>262</v>
      </c>
      <c r="Q212" s="8"/>
    </row>
    <row r="213" spans="1:17" ht="16.5" thickTop="1" thickBot="1" x14ac:dyDescent="0.3">
      <c r="A213" s="3"/>
      <c r="B213" s="3"/>
      <c r="C213" s="9">
        <f t="shared" ref="C213:L213" si="24">SUM(C2:C212)</f>
        <v>0</v>
      </c>
      <c r="D213" s="9">
        <f t="shared" si="24"/>
        <v>0</v>
      </c>
      <c r="E213" s="9">
        <f t="shared" si="24"/>
        <v>0</v>
      </c>
      <c r="F213" s="9">
        <f t="shared" si="24"/>
        <v>549405914.88</v>
      </c>
      <c r="G213" s="9">
        <f t="shared" si="24"/>
        <v>32155998.88000001</v>
      </c>
      <c r="H213" s="9">
        <f t="shared" si="24"/>
        <v>518582164.08999979</v>
      </c>
      <c r="I213" s="9">
        <f t="shared" si="24"/>
        <v>1332248.0900000001</v>
      </c>
      <c r="J213" s="9">
        <f t="shared" si="24"/>
        <v>517249915.99999976</v>
      </c>
      <c r="K213" s="9">
        <f t="shared" si="24"/>
        <v>-90186346.870000005</v>
      </c>
      <c r="L213" s="9">
        <f t="shared" si="24"/>
        <v>427063569.12999988</v>
      </c>
      <c r="M213" s="9"/>
      <c r="N213" s="9"/>
      <c r="O213" s="9"/>
      <c r="P213" s="9"/>
      <c r="Q213" s="9"/>
    </row>
    <row r="214" spans="1:17" ht="15.75" thickTop="1" x14ac:dyDescent="0.25">
      <c r="C214" s="10">
        <v>327058662.52999997</v>
      </c>
      <c r="D214" s="10">
        <v>327058662.52999997</v>
      </c>
      <c r="E214" s="10"/>
      <c r="F214" s="10">
        <v>4754550389.8800001</v>
      </c>
      <c r="G214" s="10">
        <v>4754550389.8800001</v>
      </c>
      <c r="H214" s="10">
        <v>1042934982.92</v>
      </c>
      <c r="I214" s="10">
        <v>1042934982.92</v>
      </c>
      <c r="J214" s="10">
        <v>0</v>
      </c>
      <c r="K214" s="10">
        <v>0</v>
      </c>
      <c r="L214" s="10">
        <v>0</v>
      </c>
      <c r="M214" s="10"/>
      <c r="N214" s="10"/>
      <c r="O214" s="10"/>
      <c r="P214" s="10"/>
      <c r="Q214" s="10"/>
    </row>
    <row r="215" spans="1:17" x14ac:dyDescent="0.25">
      <c r="C215" s="10">
        <f t="shared" ref="C215:L215" si="25">C213-C214</f>
        <v>-327058662.52999997</v>
      </c>
      <c r="D215" s="10">
        <f t="shared" si="25"/>
        <v>-327058662.52999997</v>
      </c>
      <c r="E215" s="10">
        <f t="shared" si="25"/>
        <v>0</v>
      </c>
      <c r="F215" s="10">
        <f t="shared" si="25"/>
        <v>-4205144475</v>
      </c>
      <c r="G215" s="10">
        <f t="shared" si="25"/>
        <v>-4722394391</v>
      </c>
      <c r="H215" s="10">
        <f t="shared" si="25"/>
        <v>-524352818.83000016</v>
      </c>
      <c r="I215" s="10">
        <f t="shared" si="25"/>
        <v>-1041602734.8299999</v>
      </c>
      <c r="J215" s="10">
        <f t="shared" si="25"/>
        <v>517249915.99999976</v>
      </c>
      <c r="K215" s="10">
        <f t="shared" si="25"/>
        <v>-90186346.870000005</v>
      </c>
      <c r="L215" s="10">
        <f t="shared" si="25"/>
        <v>427063569.12999988</v>
      </c>
      <c r="M215" s="10"/>
      <c r="N215" s="10"/>
      <c r="O215" s="10"/>
      <c r="P215" s="10"/>
      <c r="Q215" s="10"/>
    </row>
  </sheetData>
  <autoFilter ref="A1:T215" xr:uid="{162AC7B0-F6F8-4E10-9B8C-7F1FA3079AA8}"/>
  <conditionalFormatting sqref="A1:A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ميزان المراجعة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Ragheed AL Madani</cp:lastModifiedBy>
  <dcterms:created xsi:type="dcterms:W3CDTF">2026-03-30T06:54:36Z</dcterms:created>
  <dcterms:modified xsi:type="dcterms:W3CDTF">2026-06-09T13:16:03Z</dcterms:modified>
</cp:coreProperties>
</file>