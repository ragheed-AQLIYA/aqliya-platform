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General &amp; Controls" sheetId="1" state="visible" r:id="rId1"/>
    <sheet xmlns:r="http://schemas.openxmlformats.org/officeDocument/2006/relationships" name="2. Workforce Verification" sheetId="2" state="visible" r:id="rId2"/>
    <sheet xmlns:r="http://schemas.openxmlformats.org/officeDocument/2006/relationships" name="3. Supply Chain Verification" sheetId="3" state="visible" r:id="rId3"/>
    <sheet xmlns:r="http://schemas.openxmlformats.org/officeDocument/2006/relationships" name="4. Capex, Capacity &amp; Assets" sheetId="4" state="visible" r:id="rId4"/>
    <sheet xmlns:r="http://schemas.openxmlformats.org/officeDocument/2006/relationships" name="5. Close-out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  <fill>
      <patternFill patternType="solid">
        <fgColor rgb="0044546A"/>
        <bgColor rgb="0044546A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38" customWidth="1" min="4" max="4"/>
    <col width="18" customWidth="1" min="5" max="5"/>
    <col width="30" customWidth="1" min="6" max="6"/>
  </cols>
  <sheetData>
    <row r="1">
      <c r="A1" s="1" t="inlineStr">
        <is>
          <t>LocalContentOS — Master Audit Program &amp; Verification Matrix</t>
        </is>
      </c>
    </row>
    <row r="2">
      <c r="A2" s="2" t="inlineStr">
        <is>
          <t>Facility-Level Core Baseline Compliance Program (ISRS 4400 / LCGPA Rules No. 1-4661-21)</t>
        </is>
      </c>
    </row>
    <row r="3"/>
    <row r="4" ht="28" customHeight="1">
      <c r="A4" s="3" t="inlineStr">
        <is>
          <t>Control ID</t>
        </is>
      </c>
      <c r="B4" s="4" t="inlineStr">
        <is>
          <t>Audit Domain</t>
        </is>
      </c>
      <c r="C4" s="4" t="inlineStr">
        <is>
          <t>Agreed-Upon Procedure (AUP) Steps</t>
        </is>
      </c>
      <c r="D4" s="4" t="inlineStr">
        <is>
          <t>Regulatory Baseline / Target</t>
        </is>
      </c>
      <c r="E4" s="3" t="inlineStr">
        <is>
          <t>Verification Scale / Status</t>
        </is>
      </c>
      <c r="F4" s="4" t="inlineStr">
        <is>
          <t>Auditor Findings &amp; Working Papers Cross-Ref</t>
        </is>
      </c>
    </row>
    <row r="5" ht="24" customHeight="1">
      <c r="A5" s="5" t="inlineStr">
        <is>
          <t>GEN-01</t>
        </is>
      </c>
      <c r="B5" s="6" t="inlineStr">
        <is>
          <t>Reporting Currency</t>
        </is>
      </c>
      <c r="C5" s="6" t="inlineStr">
        <is>
          <t>Verify that all disclosed sums across all modules and sub-ledgers are uniformly expressed in Saudi Riyal.</t>
        </is>
      </c>
      <c r="D5" s="6" t="inlineStr">
        <is>
          <t>Strictly SAR</t>
        </is>
      </c>
      <c r="E5" s="7" t="inlineStr">
        <is>
          <t>Pending</t>
        </is>
      </c>
      <c r="F5" s="6" t="inlineStr"/>
    </row>
    <row r="6" ht="24" customHeight="1">
      <c r="A6" s="8" t="inlineStr">
        <is>
          <t>GEN-02</t>
        </is>
      </c>
      <c r="B6" s="9" t="inlineStr">
        <is>
          <t>Fiscal Framework</t>
        </is>
      </c>
      <c r="C6" s="9" t="inlineStr">
        <is>
          <t>Cross-verify the facility's reporting horizon with the Audited Financial Statements. Check boundary constraints if non-standard.</t>
        </is>
      </c>
      <c r="D6" s="9" t="inlineStr">
        <is>
          <t>Between 6 and 18 months</t>
        </is>
      </c>
      <c r="E6" s="10" t="inlineStr">
        <is>
          <t>Pending</t>
        </is>
      </c>
      <c r="F6" s="9" t="inlineStr"/>
    </row>
    <row r="7" ht="24" customHeight="1">
      <c r="A7" s="5" t="inlineStr">
        <is>
          <t>GEN-03</t>
        </is>
      </c>
      <c r="B7" s="6" t="inlineStr">
        <is>
          <t>Audit Opinion Test</t>
        </is>
      </c>
      <c r="C7" s="6" t="inlineStr">
        <is>
          <t>Review the independent auditor's report on financial statements. Assess the financial statement qualification impact on the LC metric calculation.</t>
        </is>
      </c>
      <c r="D7" s="6" t="inlineStr">
        <is>
          <t>No adverse impact on LC inputs; else LCGPA approval required</t>
        </is>
      </c>
      <c r="E7" s="7" t="inlineStr">
        <is>
          <t>Pending</t>
        </is>
      </c>
      <c r="F7" s="6" t="inlineStr"/>
    </row>
    <row r="8" ht="24" customHeight="1">
      <c r="A8" s="8" t="inlineStr">
        <is>
          <t>GEN-04</t>
        </is>
      </c>
      <c r="B8" s="9" t="inlineStr">
        <is>
          <t>Special Purpose Financials</t>
        </is>
      </c>
      <c r="C8" s="9" t="inlineStr">
        <is>
          <t>If special-purpose accounts are utilized, confirm exact alignment with the primary statements uploaded to the 'Qawam' platform.</t>
        </is>
      </c>
      <c r="D8" s="9" t="inlineStr">
        <is>
          <t>100% Reconciliation to Qawam ledger</t>
        </is>
      </c>
      <c r="E8" s="10" t="inlineStr">
        <is>
          <t>Pending</t>
        </is>
      </c>
      <c r="F8" s="9" t="inlineStr"/>
    </row>
    <row r="9" ht="24" customHeight="1">
      <c r="A9" s="5" t="inlineStr">
        <is>
          <t>GEN-05</t>
        </is>
      </c>
      <c r="B9" s="6" t="inlineStr">
        <is>
          <t>Consolidation Logic</t>
        </is>
      </c>
      <c r="C9" s="6" t="inlineStr">
        <is>
          <t>For unified corporate sub-models, confirm elimination of intra-group transactions and track completeness of Table 1.5 mapping.</t>
        </is>
      </c>
      <c r="D9" s="6" t="inlineStr">
        <is>
          <t>No multi-counting of intra-group spend</t>
        </is>
      </c>
      <c r="E9" s="7" t="inlineStr">
        <is>
          <t>Pending</t>
        </is>
      </c>
      <c r="F9" s="6" t="inlineStr"/>
    </row>
    <row r="10" ht="24" customHeight="1">
      <c r="A10" s="8" t="inlineStr">
        <is>
          <t>GEN-06</t>
        </is>
      </c>
      <c r="B10" s="9" t="inlineStr">
        <is>
          <t>Management Accounts</t>
        </is>
      </c>
      <c r="C10" s="9" t="inlineStr">
        <is>
          <t>If sector or divisional management tools are applied, track LCGPA approval records and test accuracy vectors for Segment 'C'.</t>
        </is>
      </c>
      <c r="D10" s="9" t="inlineStr">
        <is>
          <t>Valid LCGPA Approval Date required</t>
        </is>
      </c>
      <c r="E10" s="10" t="inlineStr">
        <is>
          <t>Pending</t>
        </is>
      </c>
      <c r="F10" s="9" t="inlineStr"/>
    </row>
    <row r="11" ht="24" customHeight="1">
      <c r="A11" s="5" t="inlineStr">
        <is>
          <t>GEN-07</t>
        </is>
      </c>
      <c r="B11" s="6" t="inlineStr">
        <is>
          <t>Foreign Exclusions</t>
        </is>
      </c>
      <c r="C11" s="6" t="inlineStr">
        <is>
          <t>Verify that no foreign operational hubs, cross-border branches, or external costs are intermingled with domestic reporting tables.</t>
        </is>
      </c>
      <c r="D11" s="6" t="inlineStr">
        <is>
          <t>0% Foreign branch expenses in baseline</t>
        </is>
      </c>
      <c r="E11" s="7" t="inlineStr">
        <is>
          <t>Pending</t>
        </is>
      </c>
      <c r="F11" s="6" t="inlineStr"/>
    </row>
    <row r="12" ht="24" customHeight="1">
      <c r="A12" s="8" t="inlineStr">
        <is>
          <t>GEN-08</t>
        </is>
      </c>
      <c r="B12" s="9" t="inlineStr">
        <is>
          <t>Formula Integrity</t>
        </is>
      </c>
      <c r="C12" s="9" t="inlineStr">
        <is>
          <t>Validate that the original underlying math architecture, macro calculations, and cell definitions remain locked and unedited.</t>
        </is>
      </c>
      <c r="D12" s="9" t="inlineStr">
        <is>
          <t>No changes to core engine formulas</t>
        </is>
      </c>
      <c r="E12" s="10" t="inlineStr">
        <is>
          <t>Pending</t>
        </is>
      </c>
      <c r="F12" s="9" t="inlineStr"/>
    </row>
  </sheetData>
  <dataValidations count="1">
    <dataValidation sqref="E5 E6 E7 E8 E9 E10 E11 E12 E13 E14" showDropDown="0" showInputMessage="0" showErrorMessage="0" allowBlank="1" errorTitle="Invalid Entry" error="Your entry is not in the list" promptTitle="Status Selection" prompt="Please select a compliance status" type="list">
      <formula1>"Compliant, Non-Compliant, N/A, 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38" customWidth="1" min="4" max="4"/>
    <col width="18" customWidth="1" min="5" max="5"/>
    <col width="30" customWidth="1" min="6" max="6"/>
  </cols>
  <sheetData>
    <row r="1">
      <c r="A1" s="1" t="inlineStr">
        <is>
          <t>Section 3: Workforce &amp; Labor Compensation Audit Scale</t>
        </is>
      </c>
    </row>
    <row r="2"/>
    <row r="3"/>
    <row r="4" ht="28" customHeight="1">
      <c r="A4" s="3" t="inlineStr">
        <is>
          <t>Proc ID</t>
        </is>
      </c>
      <c r="B4" s="4" t="inlineStr">
        <is>
          <t>Audit Criteria</t>
        </is>
      </c>
      <c r="C4" s="4" t="inlineStr">
        <is>
          <t>Detailed Verification Action</t>
        </is>
      </c>
      <c r="D4" s="4" t="inlineStr">
        <is>
          <t>Required Substantiation Document</t>
        </is>
      </c>
      <c r="E4" s="3" t="inlineStr">
        <is>
          <t>Compliance Scale</t>
        </is>
      </c>
      <c r="F4" s="4" t="inlineStr">
        <is>
          <t>Working Paper References / Details</t>
        </is>
      </c>
    </row>
    <row r="5" ht="24" customHeight="1">
      <c r="A5" s="5" t="inlineStr">
        <is>
          <t>LAB-01</t>
        </is>
      </c>
      <c r="B5" s="6" t="inlineStr">
        <is>
          <t>Demographic Mapping</t>
        </is>
      </c>
      <c r="C5" s="6" t="inlineStr">
        <is>
          <t>Acquire a structured database of total payroll elements, segregated strictly by Gender (Male/Female) and Nationality (Saudi/Expatriate).</t>
        </is>
      </c>
      <c r="D5" s="6" t="inlineStr">
        <is>
          <t>Categorized Payroll &amp; Headcount Summary</t>
        </is>
      </c>
      <c r="E5" s="7" t="inlineStr">
        <is>
          <t>Pending</t>
        </is>
      </c>
      <c r="F5" s="6" t="inlineStr"/>
    </row>
    <row r="6" ht="24" customHeight="1">
      <c r="A6" s="8" t="inlineStr">
        <is>
          <t>LAB-02</t>
        </is>
      </c>
      <c r="B6" s="9" t="inlineStr">
        <is>
          <t>Scope of Compensation</t>
        </is>
      </c>
      <c r="C6" s="9" t="inlineStr">
        <is>
          <t>Verify that gross metrics encompass basic wages, structural bonuses, overtime pools, housing/transport stipends, and GOSI facility contributions.</t>
        </is>
      </c>
      <c r="D6" s="9" t="inlineStr">
        <is>
          <t>Audited Trial Balance &amp; General Ledger</t>
        </is>
      </c>
      <c r="E6" s="10" t="inlineStr">
        <is>
          <t>Pending</t>
        </is>
      </c>
      <c r="F6" s="9" t="inlineStr"/>
    </row>
    <row r="7" ht="24" customHeight="1">
      <c r="A7" s="5" t="inlineStr">
        <is>
          <t>LAB-03</t>
        </is>
      </c>
      <c r="B7" s="6" t="inlineStr">
        <is>
          <t>End of Service Benefits</t>
        </is>
      </c>
      <c r="C7" s="6" t="inlineStr">
        <is>
          <t>Reconcile the accrued employee end-of-service provision vector formed within the current reporting cycle.</t>
        </is>
      </c>
      <c r="D7" s="6" t="inlineStr">
        <is>
          <t>Actuarial Valuation / Provision Ledger</t>
        </is>
      </c>
      <c r="E7" s="7" t="inlineStr">
        <is>
          <t>Pending</t>
        </is>
      </c>
      <c r="F7" s="6" t="inlineStr"/>
    </row>
    <row r="8" ht="24" customHeight="1">
      <c r="A8" s="8" t="inlineStr">
        <is>
          <t>LAB-04</t>
        </is>
      </c>
      <c r="B8" s="9" t="inlineStr">
        <is>
          <t>Statutory Legality</t>
        </is>
      </c>
      <c r="C8" s="9" t="inlineStr">
        <is>
          <t>Acquire a formal signed statement verifying that all registered personnel are documented in full accordance with KSA labor laws.</t>
        </is>
      </c>
      <c r="D8" s="9" t="inlineStr">
        <is>
          <t>Signed Management Statement</t>
        </is>
      </c>
      <c r="E8" s="10" t="inlineStr">
        <is>
          <t>Pending</t>
        </is>
      </c>
      <c r="F8" s="9" t="inlineStr"/>
    </row>
    <row r="9" ht="24" customHeight="1">
      <c r="A9" s="5" t="inlineStr">
        <is>
          <t>LAB-05</t>
        </is>
      </c>
      <c r="B9" s="6" t="inlineStr">
        <is>
          <t>Sampling Execution</t>
        </is>
      </c>
      <c r="C9" s="6" t="inlineStr">
        <is>
          <t>Determine and apply sample filters: select at random the lesser of 40 individual files or 20% of the total localized human resource cost base.</t>
        </is>
      </c>
      <c r="D9" s="6" t="inlineStr">
        <is>
          <t>Statistical Selection Register</t>
        </is>
      </c>
      <c r="E9" s="7" t="inlineStr">
        <is>
          <t>Pending</t>
        </is>
      </c>
      <c r="F9" s="6" t="inlineStr"/>
    </row>
    <row r="10" ht="24" customHeight="1">
      <c r="A10" s="8" t="inlineStr">
        <is>
          <t>LAB-06</t>
        </is>
      </c>
      <c r="B10" s="9" t="inlineStr">
        <is>
          <t>Identity Verification</t>
        </is>
      </c>
      <c r="C10" s="9" t="inlineStr">
        <is>
          <t>For all selected personnel files, confirm authentic government credentials.</t>
        </is>
      </c>
      <c r="D10" s="9" t="inlineStr">
        <is>
          <t>National ID (Saudi) / Valid Iqama (Expat)</t>
        </is>
      </c>
      <c r="E10" s="10" t="inlineStr">
        <is>
          <t>Pending</t>
        </is>
      </c>
      <c r="F10" s="9" t="inlineStr"/>
    </row>
    <row r="11" ht="24" customHeight="1">
      <c r="A11" s="5" t="inlineStr">
        <is>
          <t>LAB-07</t>
        </is>
      </c>
      <c r="B11" s="6" t="inlineStr">
        <is>
          <t>Banking Trail Trace</t>
        </is>
      </c>
      <c r="C11" s="6" t="inlineStr">
        <is>
          <t>Trace payroll distributions for the selected sample directly to institutional bank output files to confirm absolute execution.</t>
        </is>
      </c>
      <c r="D11" s="6" t="inlineStr">
        <is>
          <t>Wages Protection System (WPS) Logs</t>
        </is>
      </c>
      <c r="E11" s="7" t="inlineStr">
        <is>
          <t>Pending</t>
        </is>
      </c>
      <c r="F11" s="6" t="inlineStr"/>
    </row>
    <row r="12" ht="24" customHeight="1">
      <c r="A12" s="8" t="inlineStr">
        <is>
          <t>LAB-08</t>
        </is>
      </c>
      <c r="B12" s="9" t="inlineStr">
        <is>
          <t>Contract Validity</t>
        </is>
      </c>
      <c r="C12" s="9" t="inlineStr">
        <is>
          <t>Examine current physical or electronic employment documentation to verify direct active status during the reporting cycle.</t>
        </is>
      </c>
      <c r="D12" s="9" t="inlineStr">
        <is>
          <t>Valid Unexpired Employment Contracts</t>
        </is>
      </c>
      <c r="E12" s="10" t="inlineStr">
        <is>
          <t>Pending</t>
        </is>
      </c>
      <c r="F12" s="9" t="inlineStr"/>
    </row>
    <row r="13" ht="24" customHeight="1">
      <c r="A13" s="5" t="inlineStr">
        <is>
          <t>LAB-09</t>
        </is>
      </c>
      <c r="B13" s="6" t="inlineStr">
        <is>
          <t>Contractor Segregation</t>
        </is>
      </c>
      <c r="C13" s="6" t="inlineStr">
        <is>
          <t>Audit human resource logs to confirm zero intermingling of external sub-contractors or third-party manpower within Section 3.</t>
        </is>
      </c>
      <c r="D13" s="6" t="inlineStr">
        <is>
          <t>Vendor Invoice Exclusion Test Log</t>
        </is>
      </c>
      <c r="E13" s="7" t="inlineStr">
        <is>
          <t>Pending</t>
        </is>
      </c>
      <c r="F13" s="6" t="inlineStr"/>
    </row>
    <row r="14" ht="24" customHeight="1">
      <c r="A14" s="8" t="inlineStr">
        <is>
          <t>LAB-10</t>
        </is>
      </c>
      <c r="B14" s="9" t="inlineStr">
        <is>
          <t>Cross-Section Exclusions</t>
        </is>
      </c>
      <c r="C14" s="9" t="inlineStr">
        <is>
          <t>Verify that health insurance premiums (Sec 4) or educational/training overheads (Sec 6) are systematically purged from workforce entries.</t>
        </is>
      </c>
      <c r="D14" s="9" t="inlineStr">
        <is>
          <t>Expense Reclassification Matrix</t>
        </is>
      </c>
      <c r="E14" s="10" t="inlineStr">
        <is>
          <t>Pending</t>
        </is>
      </c>
      <c r="F14" s="9" t="inlineStr"/>
    </row>
    <row r="15"/>
    <row r="16"/>
    <row r="17">
      <c r="A17" s="11" t="inlineStr">
        <is>
          <t>Workforce Sampling Parameters Calculator</t>
        </is>
      </c>
    </row>
    <row r="18">
      <c r="B18" s="12" t="inlineStr">
        <is>
          <t>Metric Description</t>
        </is>
      </c>
      <c r="C18" s="12" t="inlineStr">
        <is>
          <t>Value Input</t>
        </is>
      </c>
      <c r="D18" s="12" t="inlineStr">
        <is>
          <t>Formula Constraint Output</t>
        </is>
      </c>
    </row>
    <row r="19">
      <c r="B19" s="13" t="inlineStr">
        <is>
          <t>Total Enterprise Employee Headcount</t>
        </is>
      </c>
      <c r="C19" s="10" t="n">
        <v>150</v>
      </c>
    </row>
    <row r="20">
      <c r="B20" s="13" t="inlineStr">
        <is>
          <t>20% Floor of Headcount Base</t>
        </is>
      </c>
      <c r="D20" s="14">
        <f>C19*0.2</f>
        <v/>
      </c>
    </row>
    <row r="21">
      <c r="B21" s="13" t="inlineStr">
        <is>
          <t>Standard Statutory Cap Limit</t>
        </is>
      </c>
      <c r="D21" s="8" t="n">
        <v>40</v>
      </c>
    </row>
    <row r="22">
      <c r="B22" s="15" t="inlineStr">
        <is>
          <t>Required Audit Audit Sample Size</t>
        </is>
      </c>
      <c r="D22" s="16">
        <f>MIN(D20,D21)</f>
        <v/>
      </c>
    </row>
  </sheetData>
  <mergeCells count="1">
    <mergeCell ref="A17:C17"/>
  </mergeCells>
  <dataValidations count="1">
    <dataValidation sqref="E5 E6 E7 E8 E9 E10 E11 E12 E13 E14" showDropDown="0" showInputMessage="0" showErrorMessage="0" allowBlank="1" errorTitle="Invalid Entry" error="Your entry is not in the list" promptTitle="Status Selection" prompt="Please select a compliance status" type="list">
      <formula1>"Compliant, Non-Compliant, N/A, 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38" customWidth="1" min="4" max="4"/>
    <col width="18" customWidth="1" min="5" max="5"/>
    <col width="30" customWidth="1" min="6" max="6"/>
  </cols>
  <sheetData>
    <row r="1">
      <c r="A1" s="1" t="inlineStr">
        <is>
          <t>Section 4 &amp; 4.1: Goods &amp; Services Verification Matrix</t>
        </is>
      </c>
    </row>
    <row r="2"/>
    <row r="3"/>
    <row r="4" ht="28" customHeight="1">
      <c r="A4" s="3" t="inlineStr">
        <is>
          <t>Step ID</t>
        </is>
      </c>
      <c r="B4" s="4" t="inlineStr">
        <is>
          <t>Control Objective</t>
        </is>
      </c>
      <c r="C4" s="4" t="inlineStr">
        <is>
          <t>Procedural Testing Mechanism</t>
        </is>
      </c>
      <c r="D4" s="4" t="inlineStr">
        <is>
          <t>Compliance Parameters / Safeguards</t>
        </is>
      </c>
      <c r="E4" s="3" t="inlineStr">
        <is>
          <t>Scale Status</t>
        </is>
      </c>
      <c r="F4" s="4" t="inlineStr">
        <is>
          <t>Audit Findings &amp; Exceptions Log</t>
        </is>
      </c>
    </row>
    <row r="5" ht="24" customHeight="1">
      <c r="A5" s="5" t="inlineStr">
        <is>
          <t>SC-01</t>
        </is>
      </c>
      <c r="B5" s="6" t="inlineStr">
        <is>
          <t>Descending Sorting</t>
        </is>
      </c>
      <c r="C5" s="6" t="inlineStr">
        <is>
          <t>Acquire a comprehensive vendor ledger of all expenditures incurred across supply chains, structured in descending order of cost.</t>
        </is>
      </c>
      <c r="D5" s="6" t="inlineStr">
        <is>
          <t>100% General Ledger alignment check</t>
        </is>
      </c>
      <c r="E5" s="7" t="inlineStr">
        <is>
          <t>Pending</t>
        </is>
      </c>
      <c r="F5" s="6" t="inlineStr"/>
    </row>
    <row r="6" ht="24" customHeight="1">
      <c r="A6" s="8" t="inlineStr">
        <is>
          <t>SC-02</t>
        </is>
      </c>
      <c r="B6" s="9" t="inlineStr">
        <is>
          <t>Unclassified Spend Cap</t>
        </is>
      </c>
      <c r="C6" s="9" t="inlineStr">
        <is>
          <t>Isolate any cost element lacking explicit granular transaction backing and classify directly as a non-permissible unclassified cost.</t>
        </is>
      </c>
      <c r="D6" s="9" t="inlineStr">
        <is>
          <t>Auto-transferred to non-compliant tier</t>
        </is>
      </c>
      <c r="E6" s="10" t="inlineStr">
        <is>
          <t>Pending</t>
        </is>
      </c>
      <c r="F6" s="9" t="inlineStr"/>
    </row>
    <row r="7" ht="24" customHeight="1">
      <c r="A7" s="5" t="inlineStr">
        <is>
          <t>SC-03</t>
        </is>
      </c>
      <c r="B7" s="6" t="inlineStr">
        <is>
          <t>Exclusion Verification</t>
        </is>
      </c>
      <c r="C7" s="6" t="inlineStr">
        <is>
          <t>Verify that explicit exclusions (Capex, Depreciation, Zakat, Taxes, Customs, Provisions, Foreign hub cost) are fully extracted from the operational baseline.</t>
        </is>
      </c>
      <c r="D7" s="6" t="inlineStr">
        <is>
          <t>Zero presence of disallowed items</t>
        </is>
      </c>
      <c r="E7" s="7" t="inlineStr">
        <is>
          <t>Pending</t>
        </is>
      </c>
      <c r="F7" s="6" t="inlineStr"/>
    </row>
    <row r="8" ht="24" customHeight="1">
      <c r="A8" s="8" t="inlineStr">
        <is>
          <t>SC-04</t>
        </is>
      </c>
      <c r="B8" s="9" t="inlineStr">
        <is>
          <t>The 70% Scope Threshold</t>
        </is>
      </c>
      <c r="C8" s="9" t="inlineStr">
        <is>
          <t>Confirm that the declared list covers at least 70% of total supply chain outlays, or captures the top 40 unique suppliers systematically.</t>
        </is>
      </c>
      <c r="D8" s="9" t="inlineStr">
        <is>
          <t>Minimum 10 unique vendors floor limit</t>
        </is>
      </c>
      <c r="E8" s="10" t="inlineStr">
        <is>
          <t>Pending</t>
        </is>
      </c>
      <c r="F8" s="9" t="inlineStr"/>
    </row>
    <row r="9" ht="24" customHeight="1">
      <c r="A9" s="5" t="inlineStr">
        <is>
          <t>SC-05</t>
        </is>
      </c>
      <c r="B9" s="6" t="inlineStr">
        <is>
          <t>The 500M SAR Risk Vector</t>
        </is>
      </c>
      <c r="C9" s="6" t="inlineStr">
        <is>
          <t>If unmapped residual spend remains equal to or above 500 Million SAR, expand the tracking matrix down to 80 suppliers or until residual drops below 500M.</t>
        </is>
      </c>
      <c r="D9" s="6" t="inlineStr">
        <is>
          <t>Mandatory expanded tracking test loop</t>
        </is>
      </c>
      <c r="E9" s="7" t="inlineStr">
        <is>
          <t>Pending</t>
        </is>
      </c>
      <c r="F9" s="6" t="inlineStr"/>
    </row>
    <row r="10" ht="24" customHeight="1">
      <c r="A10" s="8" t="inlineStr">
        <is>
          <t>SC-06</t>
        </is>
      </c>
      <c r="B10" s="9" t="inlineStr">
        <is>
          <t>Dual-Transaction Sample</t>
        </is>
      </c>
      <c r="C10" s="9" t="inlineStr">
        <is>
          <t>For every declared domestic vendor entity, pull the single largest historical invoice along with one purely randomized voucher line.</t>
        </is>
      </c>
      <c r="D10" s="9" t="inlineStr">
        <is>
          <t>2 Transactions per vendor audited</t>
        </is>
      </c>
      <c r="E10" s="10" t="inlineStr">
        <is>
          <t>Pending</t>
        </is>
      </c>
      <c r="F10" s="9" t="inlineStr"/>
    </row>
    <row r="11" ht="24" customHeight="1">
      <c r="A11" s="5" t="inlineStr">
        <is>
          <t>SC-07</t>
        </is>
      </c>
      <c r="B11" s="6" t="inlineStr">
        <is>
          <t>Ancillary Document Match</t>
        </is>
      </c>
      <c r="C11" s="6" t="inlineStr">
        <is>
          <t>Cross-examine sampled lines against underlying foundational commercial evidence blocks.</t>
        </is>
      </c>
      <c r="D11" s="6" t="inlineStr">
        <is>
          <t>Contracts, Purchase Orders, Delivery Notes</t>
        </is>
      </c>
      <c r="E11" s="7" t="inlineStr">
        <is>
          <t>Pending</t>
        </is>
      </c>
      <c r="F11" s="6" t="inlineStr"/>
    </row>
    <row r="12" ht="24" customHeight="1">
      <c r="A12" s="8" t="inlineStr">
        <is>
          <t>SC-08</t>
        </is>
      </c>
      <c r="B12" s="9" t="inlineStr">
        <is>
          <t>Registry Score Match</t>
        </is>
      </c>
      <c r="C12" s="9" t="inlineStr">
        <is>
          <t>Validate every specific claimed vendor local content score directly against the live digital authentication portal maintained by LCGPA.</t>
        </is>
      </c>
      <c r="D12" s="9" t="inlineStr">
        <is>
          <t>Verify score validity on portal</t>
        </is>
      </c>
      <c r="E12" s="10" t="inlineStr">
        <is>
          <t>Pending</t>
        </is>
      </c>
      <c r="F12" s="9" t="inlineStr"/>
    </row>
    <row r="13" ht="24" customHeight="1">
      <c r="A13" s="5" t="inlineStr">
        <is>
          <t>SC-09</t>
        </is>
      </c>
      <c r="B13" s="6" t="inlineStr">
        <is>
          <t>Non-Manufacturing Agents</t>
        </is>
      </c>
      <c r="C13" s="6" t="inlineStr">
        <is>
          <t>Where regional distribution agents or intermediate brokers are utilized, track compliance with LCGPA intermediary guidelines.</t>
        </is>
      </c>
      <c r="D13" s="6" t="inlineStr">
        <is>
          <t>Trace score to the root factory source</t>
        </is>
      </c>
      <c r="E13" s="7" t="inlineStr">
        <is>
          <t>Pending</t>
        </is>
      </c>
      <c r="F13" s="6" t="inlineStr"/>
    </row>
    <row r="14" ht="24" customHeight="1">
      <c r="A14" s="8" t="inlineStr">
        <is>
          <t>SC-10</t>
        </is>
      </c>
      <c r="B14" s="9" t="inlineStr">
        <is>
          <t>Extra Disclosure (4.1)</t>
        </is>
      </c>
      <c r="C14" s="9" t="inlineStr">
        <is>
          <t>If outlays on pure physical goods represent less than 50% of the cost base, confirm the inclusion of up to 300 suppliers in Section 4.1.</t>
        </is>
      </c>
      <c r="D14" s="9" t="inlineStr">
        <is>
          <t>Triggered when goods component &lt; 50%</t>
        </is>
      </c>
      <c r="E14" s="10" t="inlineStr">
        <is>
          <t>Pending</t>
        </is>
      </c>
      <c r="F14" s="9" t="inlineStr"/>
    </row>
  </sheetData>
  <dataValidations count="1">
    <dataValidation sqref="E5 E6 E7 E8 E9 E10 E11 E12 E13 E14" showDropDown="0" showInputMessage="0" showErrorMessage="0" allowBlank="1" errorTitle="Invalid Entry" error="Your entry is not in the list" promptTitle="Status Selection" prompt="Please select a compliance status" type="list">
      <formula1>"Compliant, Non-Compliant, N/A, 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38" customWidth="1" min="4" max="4"/>
    <col width="18" customWidth="1" min="5" max="5"/>
    <col width="30" customWidth="1" min="6" max="6"/>
  </cols>
  <sheetData>
    <row r="1">
      <c r="A1" s="1" t="inlineStr">
        <is>
          <t>Sections 5, 6 &amp; 7: Capex, Capacity Building &amp; Asset Verification Matrix</t>
        </is>
      </c>
    </row>
    <row r="2"/>
    <row r="3"/>
    <row r="4" ht="28" customHeight="1">
      <c r="A4" s="3" t="inlineStr">
        <is>
          <t>Ref ID</t>
        </is>
      </c>
      <c r="B4" s="4" t="inlineStr">
        <is>
          <t>Investment Pillar</t>
        </is>
      </c>
      <c r="C4" s="4" t="inlineStr">
        <is>
          <t>Mandated Audit Steps &amp; Rules</t>
        </is>
      </c>
      <c r="D4" s="4" t="inlineStr">
        <is>
          <t>Regulatory Benchmark Constraint</t>
        </is>
      </c>
      <c r="E4" s="3" t="inlineStr">
        <is>
          <t>Scale Status</t>
        </is>
      </c>
      <c r="F4" s="4" t="inlineStr">
        <is>
          <t>Auditor Working Papers &amp; Notes</t>
        </is>
      </c>
    </row>
    <row r="5" ht="24" customHeight="1">
      <c r="A5" s="5" t="inlineStr">
        <is>
          <t>CPX-01</t>
        </is>
      </c>
      <c r="B5" s="6" t="inlineStr">
        <is>
          <t>Capex Threshold Loop</t>
        </is>
      </c>
      <c r="C5" s="6" t="inlineStr">
        <is>
          <t>Verify if gross annual capital additions exceed the 100M SAR benchmark to activate full compliance mapping protocols.</t>
        </is>
      </c>
      <c r="D5" s="6" t="inlineStr">
        <is>
          <t>Section 5 trigger threshold = 100M SAR</t>
        </is>
      </c>
      <c r="E5" s="7" t="inlineStr">
        <is>
          <t>Pending</t>
        </is>
      </c>
      <c r="F5" s="6" t="inlineStr"/>
    </row>
    <row r="6" ht="24" customHeight="1">
      <c r="A6" s="8" t="inlineStr">
        <is>
          <t>CPX-02</t>
        </is>
      </c>
      <c r="B6" s="9" t="inlineStr">
        <is>
          <t>Asset Filtering</t>
        </is>
      </c>
      <c r="C6" s="9" t="inlineStr">
        <is>
          <t>Exclude real estate purchases, bare land acquisitions, inventory stores, and asset transfers between associated global corporate units.</t>
        </is>
      </c>
      <c r="D6" s="9" t="inlineStr">
        <is>
          <t>Purged from localized asset index</t>
        </is>
      </c>
      <c r="E6" s="10" t="inlineStr">
        <is>
          <t>Pending</t>
        </is>
      </c>
      <c r="F6" s="9" t="inlineStr"/>
    </row>
    <row r="7" ht="24" customHeight="1">
      <c r="A7" s="5" t="inlineStr">
        <is>
          <t>CPX-03</t>
        </is>
      </c>
      <c r="B7" s="6" t="inlineStr">
        <is>
          <t>Capex Sampling Grid</t>
        </is>
      </c>
      <c r="C7" s="6" t="inlineStr">
        <is>
          <t>Map out the top 80 unique capital assets in descending cost order or until unmapped capex equals zero.</t>
        </is>
      </c>
      <c r="D7" s="6" t="inlineStr">
        <is>
          <t>Verify largest asset transactions</t>
        </is>
      </c>
      <c r="E7" s="7" t="inlineStr">
        <is>
          <t>Pending</t>
        </is>
      </c>
      <c r="F7" s="6" t="inlineStr"/>
    </row>
    <row r="8" ht="24" customHeight="1">
      <c r="A8" s="8" t="inlineStr">
        <is>
          <t>CAP-01</t>
        </is>
      </c>
      <c r="B8" s="9" t="inlineStr">
        <is>
          <t>Saudi Training Bounds</t>
        </is>
      </c>
      <c r="C8" s="9" t="inlineStr">
        <is>
          <t>Confirm that all educational outlays and training entries are tied exclusively to the development of Saudi citizens.</t>
        </is>
      </c>
      <c r="D8" s="9" t="inlineStr">
        <is>
          <t>0% Expatriate training inclusion allowed</t>
        </is>
      </c>
      <c r="E8" s="10" t="inlineStr">
        <is>
          <t>Pending</t>
        </is>
      </c>
      <c r="F8" s="9" t="inlineStr"/>
    </row>
    <row r="9" ht="24" customHeight="1">
      <c r="A9" s="5" t="inlineStr">
        <is>
          <t>CAP-02</t>
        </is>
      </c>
      <c r="B9" s="6" t="inlineStr">
        <is>
          <t>Internal Training Cost</t>
        </is>
      </c>
      <c r="C9" s="6" t="inlineStr">
        <is>
          <t>Audit internal on-the-job instructional logs. Ensure calculations match verifiable recorded training hours.</t>
        </is>
      </c>
      <c r="D9" s="6" t="inlineStr">
        <is>
          <t>Hourly cost rates trace to actuals</t>
        </is>
      </c>
      <c r="E9" s="7" t="inlineStr">
        <is>
          <t>Pending</t>
        </is>
      </c>
      <c r="F9" s="6" t="inlineStr"/>
    </row>
    <row r="10" ht="24" customHeight="1">
      <c r="A10" s="8" t="inlineStr">
        <is>
          <t>CAP-03</t>
        </is>
      </c>
      <c r="B10" s="9" t="inlineStr">
        <is>
          <t>Supplier Enhancement</t>
        </is>
      </c>
      <c r="C10" s="9" t="inlineStr">
        <is>
          <t>Examine direct tech-transfers or investments made to enhance KSA SMEs. Exclude contractually mandated maintenance setup.</t>
        </is>
      </c>
      <c r="D10" s="9" t="inlineStr">
        <is>
          <t>Direct non-contractual economic uplift</t>
        </is>
      </c>
      <c r="E10" s="10" t="inlineStr">
        <is>
          <t>Pending</t>
        </is>
      </c>
      <c r="F10" s="9" t="inlineStr"/>
    </row>
    <row r="11" ht="24" customHeight="1">
      <c r="A11" s="5" t="inlineStr">
        <is>
          <t>CAP-04</t>
        </is>
      </c>
      <c r="B11" s="6" t="inlineStr">
        <is>
          <t>R&amp;D Regulatory Review</t>
        </is>
      </c>
      <c r="C11" s="6" t="inlineStr">
        <is>
          <t>Verify that declared Research &amp; Development outlays conform directly with IFRS capitalization constraints.</t>
        </is>
      </c>
      <c r="D11" s="6" t="inlineStr">
        <is>
          <t>Expense mapping match to income statement</t>
        </is>
      </c>
      <c r="E11" s="7" t="inlineStr">
        <is>
          <t>Pending</t>
        </is>
      </c>
      <c r="F11" s="6" t="inlineStr"/>
    </row>
    <row r="12" ht="24" customHeight="1">
      <c r="A12" s="8" t="inlineStr">
        <is>
          <t>DEP-01</t>
        </is>
      </c>
      <c r="B12" s="9" t="inlineStr">
        <is>
          <t>Depreciation Tracking</t>
        </is>
      </c>
      <c r="C12" s="9" t="inlineStr">
        <is>
          <t>Acquire the complete master corporate Fixed Asset Register. Match baseline amounts to the audited financial ledger.</t>
        </is>
      </c>
      <c r="D12" s="9" t="inlineStr">
        <is>
          <t>100% Reconciliation to balance sheet</t>
        </is>
      </c>
      <c r="E12" s="10" t="inlineStr">
        <is>
          <t>Pending</t>
        </is>
      </c>
      <c r="F12" s="9" t="inlineStr"/>
    </row>
    <row r="13" ht="24" customHeight="1">
      <c r="A13" s="5" t="inlineStr">
        <is>
          <t>DEP-02</t>
        </is>
      </c>
      <c r="B13" s="6" t="inlineStr">
        <is>
          <t>Land &amp; Building Defaults</t>
        </is>
      </c>
      <c r="C13" s="6" t="inlineStr">
        <is>
          <t>Verify that all assets classified as buildings or structural land improvements are assigned a domestic manufacturing index.</t>
        </is>
      </c>
      <c r="D13" s="6" t="inlineStr">
        <is>
          <t>100% Local component mapping default</t>
        </is>
      </c>
      <c r="E13" s="7" t="inlineStr">
        <is>
          <t>Pending</t>
        </is>
      </c>
      <c r="F13" s="6" t="inlineStr"/>
    </row>
    <row r="14" ht="24" customHeight="1">
      <c r="A14" s="8" t="inlineStr">
        <is>
          <t>DEP-03</t>
        </is>
      </c>
      <c r="B14" s="9" t="inlineStr">
        <is>
          <t>Equipment Sourcing</t>
        </is>
      </c>
      <c r="C14" s="9" t="inlineStr">
        <is>
          <t>For all non-building asset pools, test origin paperwork to separate domestic manufacturing from foreign cross-border imports.</t>
        </is>
      </c>
      <c r="D14" s="9" t="inlineStr">
        <is>
          <t>Verify manufacturing origin flags</t>
        </is>
      </c>
      <c r="E14" s="10" t="inlineStr">
        <is>
          <t>Pending</t>
        </is>
      </c>
      <c r="F14" s="9" t="inlineStr"/>
    </row>
  </sheetData>
  <dataValidations count="1">
    <dataValidation sqref="E5 E6 E7 E8 E9 E10 E11 E12 E13 E14" showDropDown="0" showInputMessage="0" showErrorMessage="0" allowBlank="1" errorTitle="Invalid Entry" error="Your entry is not in the list" promptTitle="Status Selection" prompt="Please select a compliance status" type="list">
      <formula1>"Compliant, Non-Compliant, N/A, 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38" customWidth="1" min="4" max="4"/>
    <col width="18" customWidth="1" min="5" max="5"/>
    <col width="30" customWidth="1" min="6" max="6"/>
  </cols>
  <sheetData>
    <row r="1">
      <c r="A1" s="1" t="inlineStr">
        <is>
          <t>Appendix A &amp; Legal Close-out Sign-off Scales</t>
        </is>
      </c>
    </row>
    <row r="2"/>
    <row r="3"/>
    <row r="4" ht="28" customHeight="1">
      <c r="A4" s="3" t="inlineStr">
        <is>
          <t>Item ID</t>
        </is>
      </c>
      <c r="B4" s="4" t="inlineStr">
        <is>
          <t>Close-out Pillar</t>
        </is>
      </c>
      <c r="C4" s="4" t="inlineStr">
        <is>
          <t>Required Closing Verification Action</t>
        </is>
      </c>
      <c r="D4" s="4" t="inlineStr">
        <is>
          <t>Target Reference Parameter</t>
        </is>
      </c>
      <c r="E4" s="3" t="inlineStr">
        <is>
          <t>Scale Status</t>
        </is>
      </c>
      <c r="F4" s="4" t="inlineStr">
        <is>
          <t>Auditor Confirmations</t>
        </is>
      </c>
    </row>
    <row r="5" ht="24" customHeight="1">
      <c r="A5" s="5" t="inlineStr">
        <is>
          <t>CLO-01</t>
        </is>
      </c>
      <c r="B5" s="6" t="inlineStr">
        <is>
          <t>Top 10 Client Grid</t>
        </is>
      </c>
      <c r="C5" s="6" t="inlineStr">
        <is>
          <t>For industrial entities, verify mandatory listing of sales for the top 10 unique commercial buyers in KSA.</t>
        </is>
      </c>
      <c r="D5" s="6" t="inlineStr">
        <is>
          <t>Net of government levies &amp; VAT</t>
        </is>
      </c>
      <c r="E5" s="7" t="inlineStr">
        <is>
          <t>Pending</t>
        </is>
      </c>
      <c r="F5" s="6" t="inlineStr"/>
    </row>
    <row r="6" ht="24" customHeight="1">
      <c r="A6" s="8" t="inlineStr">
        <is>
          <t>CLO-02</t>
        </is>
      </c>
      <c r="B6" s="9" t="inlineStr">
        <is>
          <t>Export Ledger Match</t>
        </is>
      </c>
      <c r="C6" s="9" t="inlineStr">
        <is>
          <t>Verify total export transactions against the general ledger. Check that end-users reside completely outside KSA borders.</t>
        </is>
      </c>
      <c r="D6" s="9" t="inlineStr">
        <is>
          <t>Requires 30% to 100% coverage grid</t>
        </is>
      </c>
      <c r="E6" s="10" t="inlineStr">
        <is>
          <t>Pending</t>
        </is>
      </c>
      <c r="F6" s="9" t="inlineStr"/>
    </row>
    <row r="7" ht="24" customHeight="1">
      <c r="A7" s="5" t="inlineStr">
        <is>
          <t>CLO-03</t>
        </is>
      </c>
      <c r="B7" s="6" t="inlineStr">
        <is>
          <t>Dividend Disclosures</t>
        </is>
      </c>
      <c r="C7" s="6" t="inlineStr">
        <is>
          <t>Verify that declared dividend distributions match financial statements and are split by Saudi and foreign shareholding blocks.</t>
        </is>
      </c>
      <c r="D7" s="6" t="inlineStr">
        <is>
          <t>100% equity ledger reconciliation</t>
        </is>
      </c>
      <c r="E7" s="7" t="inlineStr">
        <is>
          <t>Pending</t>
        </is>
      </c>
      <c r="F7" s="6" t="inlineStr"/>
    </row>
    <row r="8" ht="24" customHeight="1">
      <c r="A8" s="8" t="inlineStr">
        <is>
          <t>CLO-04</t>
        </is>
      </c>
      <c r="B8" s="9" t="inlineStr">
        <is>
          <t>Representation Letter</t>
        </is>
      </c>
      <c r="C8" s="9" t="inlineStr">
        <is>
          <t>Acquire a copy of the official Management Representation Letter, printed on corporate letterhead, signed by the CEO, and stamped.</t>
        </is>
      </c>
      <c r="D8" s="9" t="inlineStr">
        <is>
          <t>Mandatory bilingual execution</t>
        </is>
      </c>
      <c r="E8" s="10" t="inlineStr">
        <is>
          <t>Pending</t>
        </is>
      </c>
      <c r="F8" s="9" t="inlineStr"/>
    </row>
    <row r="9" ht="24" customHeight="1">
      <c r="A9" s="5" t="inlineStr">
        <is>
          <t>CLO-05</t>
        </is>
      </c>
      <c r="B9" s="6" t="inlineStr">
        <is>
          <t>Auditor Declaration</t>
        </is>
      </c>
      <c r="C9" s="6" t="inlineStr">
        <is>
          <t>Confirm completion and signature of the compliance declaration by the lead registered partner.</t>
        </is>
      </c>
      <c r="D9" s="6" t="inlineStr">
        <is>
          <t>Signed by qualified SOCPA partner</t>
        </is>
      </c>
      <c r="E9" s="7" t="inlineStr">
        <is>
          <t>Pending</t>
        </is>
      </c>
      <c r="F9" s="6" t="inlineStr"/>
    </row>
  </sheetData>
  <dataValidations count="1">
    <dataValidation sqref="E5 E6 E7 E8 E9 E10 E11 E12 E13 E14" showDropDown="0" showInputMessage="0" showErrorMessage="0" allowBlank="1" errorTitle="Invalid Entry" error="Your entry is not in the list" promptTitle="Status Selection" prompt="Please select a compliance status" type="list">
      <formula1>"Compliant, Non-Compliant, N/A, 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2026-06-09T19:28:14Z</dcterms:created>
  <dcterms:modified xmlns:dcterms="http://purl.org/dc/terms/" xmlns:xsi="http://www.w3.org/2001/XMLSchema-instance" xsi:type="dcterms:W3CDTF">2026-06-09T19:28:14Z</dcterms:modified>
</cp:coreProperties>
</file>